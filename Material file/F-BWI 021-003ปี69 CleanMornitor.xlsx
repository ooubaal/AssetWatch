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cd Documents\My Documents (C)\ISO 9002 (updated)\Maintenance\แบบฟอร์มแผนPM\"/>
    </mc:Choice>
  </mc:AlternateContent>
  <xr:revisionPtr revIDLastSave="0" documentId="13_ncr:1_{8D7EFBBC-055D-40DD-A9F2-5BD39FF937F1}" xr6:coauthVersionLast="47" xr6:coauthVersionMax="47" xr10:uidLastSave="{00000000-0000-0000-0000-000000000000}"/>
  <bookViews>
    <workbookView xWindow="-120" yWindow="-120" windowWidth="29040" windowHeight="15720" xr2:uid="{776D506F-6241-4F4A-937C-460F2364FF23}"/>
  </bookViews>
  <sheets>
    <sheet name="Clean" sheetId="11" r:id="rId1"/>
    <sheet name="Monitor" sheetId="4" r:id="rId2"/>
    <sheet name="น้ำยา-เครื่อง" sheetId="10" r:id="rId3"/>
  </sheets>
  <externalReferences>
    <externalReference r:id="rId4"/>
  </externalReferences>
  <definedNames>
    <definedName name="_xlnm.Print_Area" localSheetId="1">Monitor!$A$1:$AG$119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4" l="1"/>
  <c r="B3" i="10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AG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I36" i="4"/>
  <c r="I66" i="4" s="1"/>
  <c r="I96" i="4" s="1"/>
  <c r="D36" i="4"/>
  <c r="D66" i="4" s="1"/>
  <c r="D96" i="4" s="1"/>
  <c r="AF17" i="11"/>
  <c r="AF47" i="4" s="1"/>
  <c r="AE17" i="11"/>
  <c r="AD17" i="11"/>
  <c r="AC17" i="11"/>
  <c r="AB17" i="11"/>
  <c r="AA17" i="11"/>
  <c r="Z17" i="11"/>
  <c r="Y17" i="11"/>
  <c r="X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C33" i="4"/>
  <c r="U32" i="4"/>
  <c r="U62" i="4" s="1"/>
  <c r="U92" i="4" s="1"/>
  <c r="U124" i="11"/>
  <c r="U93" i="11"/>
  <c r="U62" i="11"/>
  <c r="U32" i="11"/>
  <c r="D48" i="4"/>
  <c r="D78" i="4" s="1"/>
  <c r="D108" i="4" s="1"/>
  <c r="E48" i="4"/>
  <c r="E78" i="4" s="1"/>
  <c r="E108" i="4" s="1"/>
  <c r="F48" i="4"/>
  <c r="F78" i="4" s="1"/>
  <c r="F108" i="4" s="1"/>
  <c r="G48" i="4"/>
  <c r="G78" i="4" s="1"/>
  <c r="G108" i="4" s="1"/>
  <c r="H48" i="4"/>
  <c r="H78" i="4" s="1"/>
  <c r="H108" i="4" s="1"/>
  <c r="I48" i="4"/>
  <c r="I78" i="4" s="1"/>
  <c r="I108" i="4" s="1"/>
  <c r="J48" i="4"/>
  <c r="J78" i="4" s="1"/>
  <c r="J108" i="4" s="1"/>
  <c r="K48" i="4"/>
  <c r="K78" i="4" s="1"/>
  <c r="K108" i="4" s="1"/>
  <c r="L48" i="4"/>
  <c r="L78" i="4" s="1"/>
  <c r="L108" i="4" s="1"/>
  <c r="M48" i="4"/>
  <c r="M78" i="4" s="1"/>
  <c r="M108" i="4" s="1"/>
  <c r="N48" i="4"/>
  <c r="N78" i="4" s="1"/>
  <c r="N108" i="4" s="1"/>
  <c r="O48" i="4"/>
  <c r="O78" i="4" s="1"/>
  <c r="O108" i="4" s="1"/>
  <c r="P48" i="4"/>
  <c r="P78" i="4" s="1"/>
  <c r="P108" i="4" s="1"/>
  <c r="Q48" i="4"/>
  <c r="Q78" i="4" s="1"/>
  <c r="Q108" i="4" s="1"/>
  <c r="R48" i="4"/>
  <c r="R78" i="4" s="1"/>
  <c r="R108" i="4" s="1"/>
  <c r="S48" i="4"/>
  <c r="S78" i="4" s="1"/>
  <c r="S108" i="4" s="1"/>
  <c r="T48" i="4"/>
  <c r="T78" i="4" s="1"/>
  <c r="T108" i="4" s="1"/>
  <c r="U48" i="4"/>
  <c r="U78" i="4" s="1"/>
  <c r="U108" i="4" s="1"/>
  <c r="V48" i="4"/>
  <c r="V78" i="4" s="1"/>
  <c r="V108" i="4" s="1"/>
  <c r="W48" i="4"/>
  <c r="W78" i="4" s="1"/>
  <c r="W108" i="4" s="1"/>
  <c r="X48" i="4"/>
  <c r="X78" i="4" s="1"/>
  <c r="X108" i="4" s="1"/>
  <c r="Y48" i="4"/>
  <c r="Y78" i="4" s="1"/>
  <c r="Y108" i="4" s="1"/>
  <c r="Z48" i="4"/>
  <c r="Z78" i="4" s="1"/>
  <c r="Z108" i="4" s="1"/>
  <c r="AA48" i="4"/>
  <c r="AA78" i="4" s="1"/>
  <c r="AA108" i="4" s="1"/>
  <c r="AB48" i="4"/>
  <c r="AB78" i="4" s="1"/>
  <c r="AB108" i="4" s="1"/>
  <c r="AC48" i="4"/>
  <c r="AC78" i="4" s="1"/>
  <c r="AC108" i="4" s="1"/>
  <c r="AD48" i="4"/>
  <c r="AD78" i="4" s="1"/>
  <c r="AD108" i="4" s="1"/>
  <c r="AE48" i="4"/>
  <c r="AE78" i="4" s="1"/>
  <c r="AE108" i="4" s="1"/>
  <c r="AF48" i="4"/>
  <c r="AF78" i="4" s="1"/>
  <c r="AF108" i="4" s="1"/>
  <c r="AG48" i="4"/>
  <c r="AG78" i="4" s="1"/>
  <c r="AG108" i="4" s="1"/>
  <c r="C48" i="4"/>
  <c r="C78" i="4" s="1"/>
  <c r="C108" i="4" s="1"/>
  <c r="E36" i="4"/>
  <c r="E66" i="4" s="1"/>
  <c r="E96" i="4" s="1"/>
  <c r="F36" i="4"/>
  <c r="F66" i="4" s="1"/>
  <c r="F96" i="4" s="1"/>
  <c r="G36" i="4"/>
  <c r="G66" i="4" s="1"/>
  <c r="G96" i="4" s="1"/>
  <c r="H36" i="4"/>
  <c r="H66" i="4" s="1"/>
  <c r="H96" i="4" s="1"/>
  <c r="J36" i="4"/>
  <c r="J66" i="4" s="1"/>
  <c r="J96" i="4" s="1"/>
  <c r="K36" i="4"/>
  <c r="K66" i="4" s="1"/>
  <c r="K96" i="4" s="1"/>
  <c r="L36" i="4"/>
  <c r="L66" i="4" s="1"/>
  <c r="L96" i="4" s="1"/>
  <c r="M36" i="4"/>
  <c r="M66" i="4" s="1"/>
  <c r="M96" i="4" s="1"/>
  <c r="N36" i="4"/>
  <c r="N66" i="4" s="1"/>
  <c r="N96" i="4" s="1"/>
  <c r="O36" i="4"/>
  <c r="O66" i="4" s="1"/>
  <c r="O96" i="4" s="1"/>
  <c r="P36" i="4"/>
  <c r="P66" i="4" s="1"/>
  <c r="P96" i="4" s="1"/>
  <c r="Q36" i="4"/>
  <c r="Q66" i="4" s="1"/>
  <c r="Q96" i="4" s="1"/>
  <c r="R36" i="4"/>
  <c r="R66" i="4" s="1"/>
  <c r="R96" i="4" s="1"/>
  <c r="S36" i="4"/>
  <c r="S66" i="4" s="1"/>
  <c r="S96" i="4" s="1"/>
  <c r="T36" i="4"/>
  <c r="T66" i="4" s="1"/>
  <c r="T96" i="4" s="1"/>
  <c r="U36" i="4"/>
  <c r="U66" i="4" s="1"/>
  <c r="U96" i="4" s="1"/>
  <c r="V36" i="4"/>
  <c r="V66" i="4" s="1"/>
  <c r="V96" i="4" s="1"/>
  <c r="W36" i="4"/>
  <c r="W66" i="4" s="1"/>
  <c r="W96" i="4" s="1"/>
  <c r="X36" i="4"/>
  <c r="X66" i="4" s="1"/>
  <c r="X96" i="4" s="1"/>
  <c r="Y36" i="4"/>
  <c r="Y66" i="4" s="1"/>
  <c r="Y96" i="4" s="1"/>
  <c r="Z36" i="4"/>
  <c r="Z66" i="4" s="1"/>
  <c r="Z96" i="4" s="1"/>
  <c r="AA36" i="4"/>
  <c r="AA66" i="4" s="1"/>
  <c r="AA96" i="4" s="1"/>
  <c r="AB36" i="4"/>
  <c r="AB66" i="4" s="1"/>
  <c r="AB96" i="4" s="1"/>
  <c r="AC36" i="4"/>
  <c r="AC66" i="4" s="1"/>
  <c r="AC96" i="4" s="1"/>
  <c r="AD36" i="4"/>
  <c r="AD66" i="4" s="1"/>
  <c r="AD96" i="4" s="1"/>
  <c r="AE36" i="4"/>
  <c r="AE66" i="4" s="1"/>
  <c r="AE96" i="4" s="1"/>
  <c r="AF36" i="4"/>
  <c r="AF66" i="4" s="1"/>
  <c r="AF96" i="4" s="1"/>
  <c r="AG36" i="4"/>
  <c r="AG66" i="4" s="1"/>
  <c r="AG96" i="4" s="1"/>
  <c r="C36" i="4"/>
  <c r="C66" i="4" s="1"/>
  <c r="C96" i="4" s="1"/>
  <c r="D76" i="11"/>
  <c r="E76" i="11"/>
  <c r="F76" i="11"/>
  <c r="G76" i="11"/>
  <c r="H76" i="11"/>
  <c r="I76" i="11"/>
  <c r="J76" i="11"/>
  <c r="K76" i="11"/>
  <c r="L76" i="11"/>
  <c r="M76" i="11"/>
  <c r="N76" i="11"/>
  <c r="O76" i="11"/>
  <c r="O77" i="11" s="1"/>
  <c r="P76" i="11"/>
  <c r="Q76" i="11"/>
  <c r="R76" i="11"/>
  <c r="S76" i="11"/>
  <c r="T76" i="11"/>
  <c r="U76" i="11"/>
  <c r="V76" i="11"/>
  <c r="W76" i="11"/>
  <c r="X76" i="11"/>
  <c r="Y76" i="11"/>
  <c r="Z76" i="11"/>
  <c r="AA76" i="11"/>
  <c r="AA77" i="11" s="1"/>
  <c r="AB76" i="11"/>
  <c r="AC76" i="11"/>
  <c r="AD76" i="11"/>
  <c r="AE76" i="11"/>
  <c r="AE77" i="11" s="1"/>
  <c r="AF76" i="11"/>
  <c r="AG76" i="11"/>
  <c r="C76" i="11"/>
  <c r="D138" i="11"/>
  <c r="E138" i="11"/>
  <c r="E139" i="11" s="1"/>
  <c r="F138" i="11"/>
  <c r="G138" i="11"/>
  <c r="H138" i="11"/>
  <c r="H139" i="11" s="1"/>
  <c r="I138" i="11"/>
  <c r="J138" i="11"/>
  <c r="K138" i="11"/>
  <c r="L138" i="11"/>
  <c r="M138" i="11"/>
  <c r="N138" i="11"/>
  <c r="O138" i="11"/>
  <c r="P138" i="11"/>
  <c r="Q138" i="11"/>
  <c r="Q139" i="11" s="1"/>
  <c r="R138" i="11"/>
  <c r="S138" i="11"/>
  <c r="T138" i="11"/>
  <c r="T139" i="11" s="1"/>
  <c r="U138" i="11"/>
  <c r="V138" i="11"/>
  <c r="V139" i="11" s="1"/>
  <c r="W138" i="11"/>
  <c r="W139" i="11" s="1"/>
  <c r="X138" i="11"/>
  <c r="Y138" i="11"/>
  <c r="Z138" i="11"/>
  <c r="AA138" i="11"/>
  <c r="AB138" i="11"/>
  <c r="AC138" i="11"/>
  <c r="AC139" i="11" s="1"/>
  <c r="AD138" i="11"/>
  <c r="AE138" i="11"/>
  <c r="AE139" i="11" s="1"/>
  <c r="AF138" i="11"/>
  <c r="AF139" i="11" s="1"/>
  <c r="AG138" i="11"/>
  <c r="C138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O127" i="11" s="1"/>
  <c r="P126" i="11"/>
  <c r="Q126" i="11"/>
  <c r="R126" i="11"/>
  <c r="S126" i="11"/>
  <c r="T126" i="11"/>
  <c r="U126" i="11"/>
  <c r="V126" i="11"/>
  <c r="W126" i="11"/>
  <c r="X126" i="11"/>
  <c r="Y126" i="11"/>
  <c r="Y127" i="11" s="1"/>
  <c r="Z126" i="11"/>
  <c r="AA126" i="11"/>
  <c r="AA127" i="11" s="1"/>
  <c r="AB126" i="11"/>
  <c r="AC126" i="11"/>
  <c r="AD126" i="11"/>
  <c r="AD127" i="11" s="1"/>
  <c r="AE126" i="11"/>
  <c r="AF126" i="11"/>
  <c r="AG126" i="11"/>
  <c r="C126" i="11"/>
  <c r="D107" i="11"/>
  <c r="E107" i="11"/>
  <c r="F107" i="11"/>
  <c r="F108" i="11" s="1"/>
  <c r="G107" i="11"/>
  <c r="H107" i="11"/>
  <c r="I107" i="11"/>
  <c r="J107" i="11"/>
  <c r="K107" i="11"/>
  <c r="L107" i="11"/>
  <c r="M107" i="11"/>
  <c r="N107" i="11"/>
  <c r="O107" i="11"/>
  <c r="O108" i="11" s="1"/>
  <c r="P107" i="11"/>
  <c r="Q107" i="11"/>
  <c r="R107" i="11"/>
  <c r="R108" i="11" s="1"/>
  <c r="S107" i="11"/>
  <c r="T107" i="11"/>
  <c r="U107" i="11"/>
  <c r="V107" i="11"/>
  <c r="W107" i="11"/>
  <c r="X107" i="11"/>
  <c r="Y107" i="11"/>
  <c r="Y108" i="11" s="1"/>
  <c r="Z107" i="11"/>
  <c r="AA107" i="11"/>
  <c r="AA108" i="11" s="1"/>
  <c r="AB107" i="11"/>
  <c r="AC107" i="11"/>
  <c r="AD107" i="11"/>
  <c r="AD108" i="11" s="1"/>
  <c r="AE107" i="11"/>
  <c r="AE108" i="11" s="1"/>
  <c r="AF107" i="11"/>
  <c r="AF108" i="11" s="1"/>
  <c r="AG107" i="11"/>
  <c r="C107" i="11"/>
  <c r="C108" i="11"/>
  <c r="D95" i="11"/>
  <c r="E95" i="11"/>
  <c r="F95" i="11"/>
  <c r="G95" i="11"/>
  <c r="H95" i="11"/>
  <c r="I95" i="11"/>
  <c r="J95" i="11"/>
  <c r="J96" i="11" s="1"/>
  <c r="K95" i="11"/>
  <c r="L95" i="11"/>
  <c r="M95" i="11"/>
  <c r="N95" i="11"/>
  <c r="O95" i="11"/>
  <c r="O96" i="11" s="1"/>
  <c r="P95" i="11"/>
  <c r="Q95" i="11"/>
  <c r="R95" i="11"/>
  <c r="S95" i="11"/>
  <c r="T95" i="11"/>
  <c r="U95" i="11"/>
  <c r="V95" i="11"/>
  <c r="V96" i="11" s="1"/>
  <c r="W95" i="11"/>
  <c r="X95" i="11"/>
  <c r="Y95" i="11"/>
  <c r="Z95" i="11"/>
  <c r="AA95" i="11"/>
  <c r="AA96" i="11" s="1"/>
  <c r="AB95" i="11"/>
  <c r="AC95" i="11"/>
  <c r="AD95" i="11"/>
  <c r="AE95" i="11"/>
  <c r="AF95" i="11"/>
  <c r="AG95" i="11"/>
  <c r="C95" i="11"/>
  <c r="W64" i="11"/>
  <c r="W65" i="11" s="1"/>
  <c r="K64" i="11"/>
  <c r="K65" i="11" s="1"/>
  <c r="AD139" i="11"/>
  <c r="AB139" i="11"/>
  <c r="AA139" i="11"/>
  <c r="Z139" i="11"/>
  <c r="Y139" i="11"/>
  <c r="X139" i="11"/>
  <c r="U139" i="11"/>
  <c r="S139" i="11"/>
  <c r="R139" i="11"/>
  <c r="P139" i="11"/>
  <c r="O139" i="11"/>
  <c r="N139" i="11"/>
  <c r="M139" i="11"/>
  <c r="L139" i="11"/>
  <c r="K139" i="11"/>
  <c r="J139" i="11"/>
  <c r="I139" i="11"/>
  <c r="G139" i="11"/>
  <c r="F139" i="11"/>
  <c r="D139" i="11"/>
  <c r="C139" i="11"/>
  <c r="AC108" i="11"/>
  <c r="AB108" i="11"/>
  <c r="Z108" i="11"/>
  <c r="X108" i="11"/>
  <c r="W108" i="11"/>
  <c r="V108" i="11"/>
  <c r="U108" i="11"/>
  <c r="T108" i="11"/>
  <c r="S108" i="11"/>
  <c r="Q108" i="11"/>
  <c r="P108" i="11"/>
  <c r="N108" i="11"/>
  <c r="M108" i="11"/>
  <c r="L108" i="11"/>
  <c r="K108" i="11"/>
  <c r="J108" i="11"/>
  <c r="I108" i="11"/>
  <c r="H108" i="11"/>
  <c r="G108" i="11"/>
  <c r="E108" i="11"/>
  <c r="D108" i="11"/>
  <c r="AF77" i="11"/>
  <c r="AD77" i="11"/>
  <c r="AC77" i="11"/>
  <c r="AB77" i="11"/>
  <c r="Z77" i="11"/>
  <c r="Y77" i="11"/>
  <c r="X77" i="11"/>
  <c r="W77" i="11"/>
  <c r="V77" i="11"/>
  <c r="U77" i="11"/>
  <c r="T77" i="11"/>
  <c r="S77" i="11"/>
  <c r="R77" i="11"/>
  <c r="Q77" i="11"/>
  <c r="P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AD47" i="11"/>
  <c r="AC47" i="11"/>
  <c r="W47" i="11"/>
  <c r="T47" i="11"/>
  <c r="R47" i="11"/>
  <c r="Q47" i="11"/>
  <c r="N47" i="11"/>
  <c r="K47" i="11"/>
  <c r="H47" i="11"/>
  <c r="F47" i="11"/>
  <c r="E47" i="11"/>
  <c r="E17" i="4" s="1"/>
  <c r="D46" i="11"/>
  <c r="D47" i="11" s="1"/>
  <c r="E46" i="11"/>
  <c r="F46" i="11"/>
  <c r="G46" i="11"/>
  <c r="G47" i="11" s="1"/>
  <c r="H46" i="11"/>
  <c r="I46" i="11"/>
  <c r="I47" i="11" s="1"/>
  <c r="J46" i="11"/>
  <c r="J47" i="11" s="1"/>
  <c r="K46" i="11"/>
  <c r="L46" i="11"/>
  <c r="L47" i="11" s="1"/>
  <c r="M46" i="11"/>
  <c r="M47" i="11" s="1"/>
  <c r="N46" i="11"/>
  <c r="O46" i="11"/>
  <c r="O47" i="11" s="1"/>
  <c r="P46" i="11"/>
  <c r="P47" i="11" s="1"/>
  <c r="Q46" i="11"/>
  <c r="R46" i="11"/>
  <c r="S46" i="11"/>
  <c r="S47" i="11" s="1"/>
  <c r="T46" i="11"/>
  <c r="U46" i="11"/>
  <c r="U47" i="11" s="1"/>
  <c r="V46" i="11"/>
  <c r="V47" i="11" s="1"/>
  <c r="W46" i="11"/>
  <c r="X46" i="11"/>
  <c r="X47" i="11" s="1"/>
  <c r="Y46" i="11"/>
  <c r="Y47" i="11" s="1"/>
  <c r="Z46" i="11"/>
  <c r="Z47" i="11" s="1"/>
  <c r="AA46" i="11"/>
  <c r="AA47" i="11" s="1"/>
  <c r="AB46" i="11"/>
  <c r="AB47" i="11" s="1"/>
  <c r="AC46" i="11"/>
  <c r="AD46" i="11"/>
  <c r="AE46" i="11"/>
  <c r="AE47" i="11" s="1"/>
  <c r="AF46" i="11"/>
  <c r="AF47" i="11" s="1"/>
  <c r="AG46" i="11"/>
  <c r="C46" i="11"/>
  <c r="C47" i="11" s="1"/>
  <c r="D34" i="11"/>
  <c r="D64" i="11" s="1"/>
  <c r="D65" i="11" s="1"/>
  <c r="E34" i="11"/>
  <c r="E64" i="11" s="1"/>
  <c r="E65" i="11" s="1"/>
  <c r="F34" i="11"/>
  <c r="F35" i="11" s="1"/>
  <c r="F5" i="4" s="1"/>
  <c r="G34" i="11"/>
  <c r="G35" i="11" s="1"/>
  <c r="G5" i="4" s="1"/>
  <c r="H34" i="11"/>
  <c r="H64" i="11" s="1"/>
  <c r="H65" i="11" s="1"/>
  <c r="I34" i="11"/>
  <c r="I64" i="11" s="1"/>
  <c r="I65" i="11" s="1"/>
  <c r="J34" i="11"/>
  <c r="J64" i="11" s="1"/>
  <c r="J65" i="11" s="1"/>
  <c r="K34" i="11"/>
  <c r="K35" i="11" s="1"/>
  <c r="K5" i="4" s="1"/>
  <c r="L34" i="11"/>
  <c r="L35" i="11" s="1"/>
  <c r="L5" i="4" s="1"/>
  <c r="M34" i="11"/>
  <c r="M64" i="11" s="1"/>
  <c r="M65" i="11" s="1"/>
  <c r="N34" i="11"/>
  <c r="N64" i="11" s="1"/>
  <c r="N65" i="11" s="1"/>
  <c r="O34" i="11"/>
  <c r="O35" i="11" s="1"/>
  <c r="O5" i="4" s="1"/>
  <c r="P34" i="11"/>
  <c r="P64" i="11" s="1"/>
  <c r="P65" i="11" s="1"/>
  <c r="Q34" i="11"/>
  <c r="Q64" i="11" s="1"/>
  <c r="Q65" i="11" s="1"/>
  <c r="R34" i="11"/>
  <c r="R35" i="11" s="1"/>
  <c r="R5" i="4" s="1"/>
  <c r="S34" i="11"/>
  <c r="S35" i="11" s="1"/>
  <c r="S5" i="4" s="1"/>
  <c r="T34" i="11"/>
  <c r="T64" i="11" s="1"/>
  <c r="T65" i="11" s="1"/>
  <c r="U34" i="11"/>
  <c r="U64" i="11" s="1"/>
  <c r="U65" i="11" s="1"/>
  <c r="V34" i="11"/>
  <c r="V64" i="11" s="1"/>
  <c r="V65" i="11" s="1"/>
  <c r="W34" i="11"/>
  <c r="W35" i="11" s="1"/>
  <c r="W5" i="4" s="1"/>
  <c r="X34" i="11"/>
  <c r="X35" i="11" s="1"/>
  <c r="X5" i="4" s="1"/>
  <c r="Y34" i="11"/>
  <c r="Y64" i="11" s="1"/>
  <c r="Y65" i="11" s="1"/>
  <c r="Z34" i="11"/>
  <c r="Z64" i="11" s="1"/>
  <c r="Z65" i="11" s="1"/>
  <c r="AA34" i="11"/>
  <c r="AA35" i="11" s="1"/>
  <c r="AA5" i="4" s="1"/>
  <c r="AB34" i="11"/>
  <c r="AB64" i="11" s="1"/>
  <c r="AB65" i="11" s="1"/>
  <c r="AC34" i="11"/>
  <c r="AC64" i="11" s="1"/>
  <c r="AC65" i="11" s="1"/>
  <c r="AD34" i="11"/>
  <c r="AD35" i="11" s="1"/>
  <c r="AD5" i="4" s="1"/>
  <c r="AE34" i="11"/>
  <c r="AE35" i="11" s="1"/>
  <c r="AE5" i="4" s="1"/>
  <c r="AF34" i="11"/>
  <c r="AF64" i="11" s="1"/>
  <c r="AF65" i="11" s="1"/>
  <c r="AG34" i="11"/>
  <c r="AG64" i="11" s="1"/>
  <c r="C34" i="11"/>
  <c r="C35" i="11" s="1"/>
  <c r="C5" i="4" s="1"/>
  <c r="AF127" i="11"/>
  <c r="AE127" i="11"/>
  <c r="AC127" i="11"/>
  <c r="AB127" i="11"/>
  <c r="Z127" i="11"/>
  <c r="X127" i="11"/>
  <c r="W127" i="11"/>
  <c r="V127" i="11"/>
  <c r="U127" i="11"/>
  <c r="T127" i="11"/>
  <c r="S127" i="11"/>
  <c r="R127" i="11"/>
  <c r="Q127" i="11"/>
  <c r="P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AF96" i="11"/>
  <c r="AE96" i="11"/>
  <c r="AD96" i="11"/>
  <c r="AC96" i="11"/>
  <c r="AB96" i="11"/>
  <c r="Z96" i="11"/>
  <c r="Y96" i="11"/>
  <c r="X96" i="11"/>
  <c r="W96" i="11"/>
  <c r="U96" i="11"/>
  <c r="T96" i="11"/>
  <c r="S96" i="11"/>
  <c r="R96" i="11"/>
  <c r="Q96" i="11"/>
  <c r="P96" i="11"/>
  <c r="N96" i="11"/>
  <c r="M96" i="11"/>
  <c r="L96" i="11"/>
  <c r="K96" i="11"/>
  <c r="I96" i="11"/>
  <c r="H96" i="11"/>
  <c r="G96" i="11"/>
  <c r="F96" i="11"/>
  <c r="E96" i="11"/>
  <c r="D96" i="11"/>
  <c r="C96" i="11"/>
  <c r="AF35" i="11"/>
  <c r="AF5" i="4" s="1"/>
  <c r="AC35" i="11"/>
  <c r="AC5" i="4" s="1"/>
  <c r="AB35" i="11"/>
  <c r="AB5" i="4" s="1"/>
  <c r="Z35" i="11"/>
  <c r="Z5" i="4" s="1"/>
  <c r="Y35" i="11"/>
  <c r="Y5" i="4" s="1"/>
  <c r="V35" i="11"/>
  <c r="V5" i="4" s="1"/>
  <c r="U35" i="11"/>
  <c r="U5" i="4" s="1"/>
  <c r="T35" i="11"/>
  <c r="T5" i="4" s="1"/>
  <c r="Q35" i="11"/>
  <c r="Q5" i="4" s="1"/>
  <c r="P35" i="11"/>
  <c r="P5" i="4" s="1"/>
  <c r="N35" i="11"/>
  <c r="N5" i="4" s="1"/>
  <c r="M35" i="11"/>
  <c r="M5" i="4" s="1"/>
  <c r="J35" i="11"/>
  <c r="J5" i="4" s="1"/>
  <c r="I35" i="11"/>
  <c r="I5" i="4" s="1"/>
  <c r="H35" i="11"/>
  <c r="H5" i="4" s="1"/>
  <c r="E35" i="11"/>
  <c r="E5" i="4" s="1"/>
  <c r="D35" i="11"/>
  <c r="D5" i="4" s="1"/>
  <c r="B2" i="10" l="1"/>
  <c r="L64" i="11"/>
  <c r="L65" i="11" s="1"/>
  <c r="X64" i="11"/>
  <c r="X65" i="11" s="1"/>
  <c r="C64" i="11"/>
  <c r="C65" i="11" s="1"/>
  <c r="O64" i="11"/>
  <c r="O65" i="11" s="1"/>
  <c r="AA64" i="11"/>
  <c r="AA65" i="11" s="1"/>
  <c r="F64" i="11"/>
  <c r="F65" i="11" s="1"/>
  <c r="R64" i="11"/>
  <c r="R65" i="11" s="1"/>
  <c r="AD64" i="11"/>
  <c r="AD65" i="11" s="1"/>
  <c r="G64" i="11"/>
  <c r="G65" i="11" s="1"/>
  <c r="S64" i="11"/>
  <c r="S65" i="11" s="1"/>
  <c r="AE64" i="11"/>
  <c r="AE65" i="11" s="1"/>
  <c r="V17" i="11"/>
  <c r="V47" i="4" s="1"/>
  <c r="W17" i="11"/>
  <c r="W47" i="4" s="1"/>
  <c r="F36" i="11"/>
  <c r="D47" i="4"/>
  <c r="D77" i="4" s="1"/>
  <c r="D107" i="4" s="1"/>
  <c r="E47" i="4"/>
  <c r="F47" i="4"/>
  <c r="F77" i="4" s="1"/>
  <c r="G47" i="4"/>
  <c r="H47" i="4"/>
  <c r="H77" i="4" s="1"/>
  <c r="H107" i="4" s="1"/>
  <c r="I47" i="4"/>
  <c r="I77" i="4" s="1"/>
  <c r="I107" i="4" s="1"/>
  <c r="J47" i="4"/>
  <c r="J77" i="4" s="1"/>
  <c r="J107" i="4" s="1"/>
  <c r="K47" i="4"/>
  <c r="L47" i="4"/>
  <c r="M47" i="4"/>
  <c r="N47" i="4"/>
  <c r="N77" i="4" s="1"/>
  <c r="N107" i="4" s="1"/>
  <c r="O47" i="4"/>
  <c r="P47" i="4"/>
  <c r="P77" i="4" s="1"/>
  <c r="P107" i="4" s="1"/>
  <c r="Q47" i="4"/>
  <c r="R47" i="4"/>
  <c r="S47" i="4"/>
  <c r="T47" i="4"/>
  <c r="T77" i="4" s="1"/>
  <c r="T107" i="4" s="1"/>
  <c r="U47" i="4"/>
  <c r="X47" i="4"/>
  <c r="Y47" i="4"/>
  <c r="Z47" i="4"/>
  <c r="AA47" i="4"/>
  <c r="AB47" i="4"/>
  <c r="AB77" i="4" s="1"/>
  <c r="AB107" i="4" s="1"/>
  <c r="AC47" i="4"/>
  <c r="AD47" i="4"/>
  <c r="AE47" i="4"/>
  <c r="AF77" i="4"/>
  <c r="AF107" i="4" s="1"/>
  <c r="C47" i="4"/>
  <c r="D35" i="4"/>
  <c r="D65" i="4" s="1"/>
  <c r="D95" i="4" s="1"/>
  <c r="E35" i="4"/>
  <c r="E65" i="4" s="1"/>
  <c r="E95" i="4" s="1"/>
  <c r="F35" i="4"/>
  <c r="F65" i="4" s="1"/>
  <c r="F95" i="4" s="1"/>
  <c r="G35" i="4"/>
  <c r="G65" i="4" s="1"/>
  <c r="G95" i="4" s="1"/>
  <c r="H35" i="4"/>
  <c r="H65" i="4" s="1"/>
  <c r="H95" i="4" s="1"/>
  <c r="I35" i="4"/>
  <c r="J35" i="4"/>
  <c r="J65" i="4" s="1"/>
  <c r="J95" i="4" s="1"/>
  <c r="K35" i="4"/>
  <c r="L35" i="4"/>
  <c r="M35" i="4"/>
  <c r="M65" i="4" s="1"/>
  <c r="M95" i="4" s="1"/>
  <c r="N35" i="4"/>
  <c r="N65" i="4" s="1"/>
  <c r="N95" i="4" s="1"/>
  <c r="O35" i="4"/>
  <c r="P35" i="4"/>
  <c r="P65" i="4" s="1"/>
  <c r="P95" i="4" s="1"/>
  <c r="Q35" i="4"/>
  <c r="R35" i="4"/>
  <c r="R65" i="4" s="1"/>
  <c r="R95" i="4" s="1"/>
  <c r="S35" i="4"/>
  <c r="T35" i="4"/>
  <c r="U35" i="4"/>
  <c r="U65" i="4" s="1"/>
  <c r="U95" i="4" s="1"/>
  <c r="V35" i="4"/>
  <c r="W35" i="4"/>
  <c r="W65" i="4" s="1"/>
  <c r="W95" i="4" s="1"/>
  <c r="X35" i="4"/>
  <c r="Y35" i="4"/>
  <c r="Y65" i="4" s="1"/>
  <c r="Y95" i="4" s="1"/>
  <c r="Z35" i="4"/>
  <c r="AA35" i="4"/>
  <c r="AB35" i="4"/>
  <c r="AB65" i="4" s="1"/>
  <c r="AB95" i="4" s="1"/>
  <c r="AC35" i="4"/>
  <c r="AD35" i="4"/>
  <c r="AD65" i="4" s="1"/>
  <c r="AD95" i="4" s="1"/>
  <c r="AE35" i="4"/>
  <c r="AF35" i="4"/>
  <c r="AG35" i="4"/>
  <c r="C35" i="4"/>
  <c r="D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C17" i="4"/>
  <c r="AG35" i="11"/>
  <c r="AG5" i="4" s="1"/>
  <c r="AG16" i="4"/>
  <c r="AG106" i="4" s="1"/>
  <c r="AA29" i="4"/>
  <c r="K77" i="4" l="1"/>
  <c r="K107" i="4" s="1"/>
  <c r="AF65" i="4"/>
  <c r="AF95" i="4" s="1"/>
  <c r="T65" i="4"/>
  <c r="T95" i="4" s="1"/>
  <c r="AG46" i="4"/>
  <c r="AG76" i="4"/>
  <c r="AG65" i="11"/>
  <c r="D111" i="4"/>
  <c r="D114" i="4" s="1"/>
  <c r="AE77" i="4"/>
  <c r="AE107" i="4" s="1"/>
  <c r="S77" i="4"/>
  <c r="S107" i="4" s="1"/>
  <c r="G77" i="4"/>
  <c r="G107" i="4" s="1"/>
  <c r="Q77" i="4"/>
  <c r="Q107" i="4" s="1"/>
  <c r="E77" i="4"/>
  <c r="E107" i="4" s="1"/>
  <c r="I51" i="4"/>
  <c r="I54" i="4" s="1"/>
  <c r="I84" i="4" s="1"/>
  <c r="C77" i="4"/>
  <c r="C107" i="4" s="1"/>
  <c r="AG65" i="4"/>
  <c r="AG95" i="4" s="1"/>
  <c r="AE65" i="4"/>
  <c r="AE95" i="4" s="1"/>
  <c r="V65" i="4"/>
  <c r="V95" i="4" s="1"/>
  <c r="S65" i="4"/>
  <c r="S95" i="4" s="1"/>
  <c r="X65" i="4"/>
  <c r="X95" i="4" s="1"/>
  <c r="L65" i="4"/>
  <c r="L95" i="4" s="1"/>
  <c r="AC65" i="4"/>
  <c r="AC95" i="4" s="1"/>
  <c r="Z65" i="4"/>
  <c r="Z95" i="4" s="1"/>
  <c r="C65" i="4"/>
  <c r="C95" i="4" s="1"/>
  <c r="E39" i="4"/>
  <c r="E42" i="4" s="1"/>
  <c r="V77" i="4"/>
  <c r="V107" i="4" s="1"/>
  <c r="U77" i="4"/>
  <c r="U107" i="4" s="1"/>
  <c r="AB51" i="4"/>
  <c r="AC77" i="4"/>
  <c r="AC107" i="4" s="1"/>
  <c r="W77" i="4"/>
  <c r="W107" i="4" s="1"/>
  <c r="N51" i="4"/>
  <c r="Z77" i="4"/>
  <c r="Z107" i="4" s="1"/>
  <c r="X77" i="4"/>
  <c r="X107" i="4" s="1"/>
  <c r="L77" i="4"/>
  <c r="L107" i="4" s="1"/>
  <c r="W39" i="4"/>
  <c r="W42" i="4" s="1"/>
  <c r="Q65" i="4"/>
  <c r="Q95" i="4" s="1"/>
  <c r="K65" i="4"/>
  <c r="K95" i="4" s="1"/>
  <c r="I65" i="4"/>
  <c r="I95" i="4" s="1"/>
  <c r="AA77" i="4"/>
  <c r="AA107" i="4" s="1"/>
  <c r="O77" i="4"/>
  <c r="O107" i="4" s="1"/>
  <c r="Y77" i="4"/>
  <c r="Y107" i="4" s="1"/>
  <c r="M77" i="4"/>
  <c r="M107" i="4" s="1"/>
  <c r="J111" i="4"/>
  <c r="J114" i="4" s="1"/>
  <c r="AD77" i="4"/>
  <c r="AD107" i="4" s="1"/>
  <c r="R77" i="4"/>
  <c r="R107" i="4" s="1"/>
  <c r="F107" i="4"/>
  <c r="D39" i="4"/>
  <c r="D42" i="4" s="1"/>
  <c r="O39" i="4"/>
  <c r="O42" i="4" s="1"/>
  <c r="AA39" i="4"/>
  <c r="AA42" i="4" s="1"/>
  <c r="AA65" i="4"/>
  <c r="AA95" i="4" s="1"/>
  <c r="O65" i="4"/>
  <c r="O95" i="4" s="1"/>
  <c r="AG39" i="4"/>
  <c r="AG42" i="4" s="1"/>
  <c r="U39" i="4"/>
  <c r="U42" i="4" s="1"/>
  <c r="I39" i="4"/>
  <c r="I42" i="4" s="1"/>
  <c r="AF39" i="4"/>
  <c r="AF42" i="4" s="1"/>
  <c r="T39" i="4"/>
  <c r="T42" i="4" s="1"/>
  <c r="S39" i="4"/>
  <c r="S42" i="4" s="1"/>
  <c r="G39" i="4"/>
  <c r="G42" i="4" s="1"/>
  <c r="AC39" i="4"/>
  <c r="AC42" i="4" s="1"/>
  <c r="C15" i="4"/>
  <c r="M69" i="4"/>
  <c r="M72" i="4" s="1"/>
  <c r="E111" i="4"/>
  <c r="E114" i="4" s="1"/>
  <c r="F111" i="4"/>
  <c r="F114" i="4" s="1"/>
  <c r="G111" i="4"/>
  <c r="G114" i="4" s="1"/>
  <c r="H111" i="4"/>
  <c r="H114" i="4" s="1"/>
  <c r="K51" i="4"/>
  <c r="L51" i="4"/>
  <c r="M51" i="4"/>
  <c r="O51" i="4"/>
  <c r="P51" i="4"/>
  <c r="Q51" i="4"/>
  <c r="R51" i="4"/>
  <c r="S51" i="4"/>
  <c r="T111" i="4"/>
  <c r="T114" i="4" s="1"/>
  <c r="U111" i="4"/>
  <c r="U114" i="4" s="1"/>
  <c r="V111" i="4"/>
  <c r="V114" i="4" s="1"/>
  <c r="W51" i="4"/>
  <c r="X51" i="4"/>
  <c r="Y51" i="4"/>
  <c r="Z51" i="4"/>
  <c r="AA51" i="4"/>
  <c r="AC51" i="4"/>
  <c r="AD51" i="4"/>
  <c r="AE51" i="4"/>
  <c r="AF111" i="4"/>
  <c r="AF114" i="4" s="1"/>
  <c r="AG111" i="4"/>
  <c r="AG114" i="4" s="1"/>
  <c r="C111" i="4"/>
  <c r="C114" i="4" s="1"/>
  <c r="L39" i="4"/>
  <c r="L42" i="4" s="1"/>
  <c r="J39" i="4"/>
  <c r="J42" i="4" s="1"/>
  <c r="K39" i="4"/>
  <c r="K42" i="4" s="1"/>
  <c r="M39" i="4"/>
  <c r="M42" i="4" s="1"/>
  <c r="P39" i="4"/>
  <c r="P42" i="4" s="1"/>
  <c r="Q39" i="4"/>
  <c r="Q42" i="4" s="1"/>
  <c r="V39" i="4"/>
  <c r="V42" i="4" s="1"/>
  <c r="Y39" i="4"/>
  <c r="Y42" i="4" s="1"/>
  <c r="AB39" i="4"/>
  <c r="AB42" i="4" s="1"/>
  <c r="C39" i="4"/>
  <c r="C42" i="4" s="1"/>
  <c r="C36" i="11"/>
  <c r="C66" i="11" s="1"/>
  <c r="C97" i="11" s="1"/>
  <c r="C128" i="11" s="1"/>
  <c r="E48" i="11"/>
  <c r="E78" i="11" s="1"/>
  <c r="F48" i="11"/>
  <c r="F78" i="11" s="1"/>
  <c r="H48" i="11"/>
  <c r="H78" i="11" s="1"/>
  <c r="I48" i="11"/>
  <c r="I78" i="11" s="1"/>
  <c r="J48" i="11"/>
  <c r="J78" i="11" s="1"/>
  <c r="K48" i="11"/>
  <c r="K78" i="11" s="1"/>
  <c r="L48" i="11"/>
  <c r="L78" i="11" s="1"/>
  <c r="M48" i="11"/>
  <c r="M78" i="11" s="1"/>
  <c r="O48" i="11"/>
  <c r="O78" i="11" s="1"/>
  <c r="R48" i="11"/>
  <c r="R78" i="11" s="1"/>
  <c r="S48" i="11"/>
  <c r="S78" i="11" s="1"/>
  <c r="T48" i="11"/>
  <c r="T78" i="11" s="1"/>
  <c r="U48" i="11"/>
  <c r="U78" i="11" s="1"/>
  <c r="W48" i="11"/>
  <c r="W78" i="11" s="1"/>
  <c r="X48" i="11"/>
  <c r="X78" i="11" s="1"/>
  <c r="Y48" i="11"/>
  <c r="Y78" i="11" s="1"/>
  <c r="Z48" i="11"/>
  <c r="Z78" i="11" s="1"/>
  <c r="AA48" i="11"/>
  <c r="AA78" i="11" s="1"/>
  <c r="AE48" i="11"/>
  <c r="AE78" i="11" s="1"/>
  <c r="AF48" i="11"/>
  <c r="AF78" i="11" s="1"/>
  <c r="C48" i="11"/>
  <c r="C78" i="11" s="1"/>
  <c r="F66" i="11"/>
  <c r="F97" i="11" s="1"/>
  <c r="F128" i="11" s="1"/>
  <c r="G36" i="11"/>
  <c r="G66" i="11" s="1"/>
  <c r="G97" i="11" s="1"/>
  <c r="G128" i="11" s="1"/>
  <c r="L36" i="11"/>
  <c r="L66" i="11" s="1"/>
  <c r="L97" i="11" s="1"/>
  <c r="L128" i="11" s="1"/>
  <c r="M36" i="11"/>
  <c r="M66" i="11" s="1"/>
  <c r="M97" i="11" s="1"/>
  <c r="M128" i="11" s="1"/>
  <c r="R36" i="11"/>
  <c r="R66" i="11" s="1"/>
  <c r="R97" i="11" s="1"/>
  <c r="R128" i="11" s="1"/>
  <c r="S36" i="11"/>
  <c r="S66" i="11" s="1"/>
  <c r="S97" i="11" s="1"/>
  <c r="S128" i="11" s="1"/>
  <c r="X36" i="11"/>
  <c r="X66" i="11" s="1"/>
  <c r="X97" i="11" s="1"/>
  <c r="X128" i="11" s="1"/>
  <c r="Y36" i="11"/>
  <c r="Y66" i="11" s="1"/>
  <c r="Y97" i="11" s="1"/>
  <c r="Y128" i="11" s="1"/>
  <c r="AD36" i="11"/>
  <c r="AD66" i="11" s="1"/>
  <c r="AD97" i="11" s="1"/>
  <c r="AD128" i="11" s="1"/>
  <c r="AE36" i="11"/>
  <c r="AE66" i="11" s="1"/>
  <c r="AE97" i="11" s="1"/>
  <c r="AE128" i="11" s="1"/>
  <c r="J36" i="11"/>
  <c r="J66" i="11" s="1"/>
  <c r="J97" i="11" s="1"/>
  <c r="J128" i="11" s="1"/>
  <c r="K36" i="11"/>
  <c r="K66" i="11" s="1"/>
  <c r="K97" i="11" s="1"/>
  <c r="K128" i="11" s="1"/>
  <c r="V36" i="11"/>
  <c r="V66" i="11" s="1"/>
  <c r="V97" i="11" s="1"/>
  <c r="V128" i="11" s="1"/>
  <c r="W36" i="11"/>
  <c r="W66" i="11" s="1"/>
  <c r="W97" i="11" s="1"/>
  <c r="W128" i="11" s="1"/>
  <c r="AF36" i="11"/>
  <c r="AF66" i="11" s="1"/>
  <c r="AF97" i="11" s="1"/>
  <c r="AF128" i="11" s="1"/>
  <c r="AD46" i="4"/>
  <c r="AE46" i="4"/>
  <c r="AF46" i="4"/>
  <c r="G48" i="11"/>
  <c r="G78" i="11" s="1"/>
  <c r="D48" i="11"/>
  <c r="D78" i="11" s="1"/>
  <c r="N48" i="11"/>
  <c r="N78" i="11" s="1"/>
  <c r="P48" i="11"/>
  <c r="P78" i="11" s="1"/>
  <c r="Q48" i="11"/>
  <c r="Q78" i="11" s="1"/>
  <c r="V48" i="11"/>
  <c r="V78" i="11" s="1"/>
  <c r="AB48" i="11"/>
  <c r="AB78" i="11" s="1"/>
  <c r="AC48" i="11"/>
  <c r="AC78" i="11" s="1"/>
  <c r="AD48" i="11"/>
  <c r="AD78" i="11" s="1"/>
  <c r="AG96" i="11" l="1"/>
  <c r="H39" i="4"/>
  <c r="H42" i="4" s="1"/>
  <c r="AB36" i="11"/>
  <c r="AB66" i="11" s="1"/>
  <c r="AB97" i="11" s="1"/>
  <c r="AB128" i="11" s="1"/>
  <c r="P36" i="11"/>
  <c r="P66" i="11" s="1"/>
  <c r="P97" i="11" s="1"/>
  <c r="P128" i="11" s="1"/>
  <c r="E51" i="4"/>
  <c r="E81" i="4" s="1"/>
  <c r="D51" i="4"/>
  <c r="D81" i="4" s="1"/>
  <c r="AE69" i="4"/>
  <c r="AE72" i="4" s="1"/>
  <c r="AD69" i="4"/>
  <c r="AD72" i="4" s="1"/>
  <c r="H51" i="4"/>
  <c r="Y69" i="4"/>
  <c r="Y72" i="4" s="1"/>
  <c r="I111" i="4"/>
  <c r="I114" i="4" s="1"/>
  <c r="AA36" i="11"/>
  <c r="AA66" i="11" s="1"/>
  <c r="AA97" i="11" s="1"/>
  <c r="AA128" i="11" s="1"/>
  <c r="G51" i="4"/>
  <c r="Q69" i="4"/>
  <c r="Q72" i="4" s="1"/>
  <c r="AE39" i="4"/>
  <c r="AE42" i="4" s="1"/>
  <c r="E69" i="4"/>
  <c r="E72" i="4" s="1"/>
  <c r="AD39" i="4"/>
  <c r="AD42" i="4" s="1"/>
  <c r="X39" i="4"/>
  <c r="X42" i="4" s="1"/>
  <c r="C51" i="4"/>
  <c r="R39" i="4"/>
  <c r="R42" i="4" s="1"/>
  <c r="AG51" i="4"/>
  <c r="O36" i="11"/>
  <c r="O66" i="11" s="1"/>
  <c r="O97" i="11" s="1"/>
  <c r="O128" i="11" s="1"/>
  <c r="V51" i="4"/>
  <c r="V54" i="4" s="1"/>
  <c r="V84" i="4" s="1"/>
  <c r="U51" i="4"/>
  <c r="U54" i="4" s="1"/>
  <c r="U84" i="4" s="1"/>
  <c r="T51" i="4"/>
  <c r="T54" i="4" s="1"/>
  <c r="T84" i="4" s="1"/>
  <c r="AC69" i="4"/>
  <c r="AC72" i="4" s="1"/>
  <c r="AF51" i="4"/>
  <c r="AF54" i="4" s="1"/>
  <c r="AF84" i="4" s="1"/>
  <c r="J51" i="4"/>
  <c r="J54" i="4" s="1"/>
  <c r="J84" i="4" s="1"/>
  <c r="AD54" i="4"/>
  <c r="AD84" i="4" s="1"/>
  <c r="AD81" i="4"/>
  <c r="R54" i="4"/>
  <c r="R84" i="4" s="1"/>
  <c r="R81" i="4"/>
  <c r="AC54" i="4"/>
  <c r="AC84" i="4" s="1"/>
  <c r="AC81" i="4"/>
  <c r="Q54" i="4"/>
  <c r="Q84" i="4" s="1"/>
  <c r="Q81" i="4"/>
  <c r="AB81" i="4"/>
  <c r="AB54" i="4"/>
  <c r="AB84" i="4" s="1"/>
  <c r="P81" i="4"/>
  <c r="P54" i="4"/>
  <c r="P84" i="4" s="1"/>
  <c r="O81" i="4"/>
  <c r="O54" i="4"/>
  <c r="O84" i="4" s="1"/>
  <c r="AA81" i="4"/>
  <c r="AA54" i="4"/>
  <c r="AA84" i="4" s="1"/>
  <c r="Z54" i="4"/>
  <c r="Z84" i="4" s="1"/>
  <c r="Z81" i="4"/>
  <c r="N54" i="4"/>
  <c r="N84" i="4" s="1"/>
  <c r="N81" i="4"/>
  <c r="Y54" i="4"/>
  <c r="Y84" i="4" s="1"/>
  <c r="Y81" i="4"/>
  <c r="S54" i="4"/>
  <c r="S84" i="4" s="1"/>
  <c r="S81" i="4"/>
  <c r="M54" i="4"/>
  <c r="M84" i="4" s="1"/>
  <c r="M81" i="4"/>
  <c r="X54" i="4"/>
  <c r="X84" i="4" s="1"/>
  <c r="X81" i="4"/>
  <c r="L54" i="4"/>
  <c r="L84" i="4" s="1"/>
  <c r="L81" i="4"/>
  <c r="AE54" i="4"/>
  <c r="AE84" i="4" s="1"/>
  <c r="AE81" i="4"/>
  <c r="W54" i="4"/>
  <c r="W84" i="4" s="1"/>
  <c r="W81" i="4"/>
  <c r="K54" i="4"/>
  <c r="K84" i="4" s="1"/>
  <c r="K81" i="4"/>
  <c r="AE111" i="4"/>
  <c r="AE114" i="4" s="1"/>
  <c r="S111" i="4"/>
  <c r="S114" i="4" s="1"/>
  <c r="AD111" i="4"/>
  <c r="AD114" i="4" s="1"/>
  <c r="R111" i="4"/>
  <c r="R114" i="4" s="1"/>
  <c r="AC111" i="4"/>
  <c r="AC114" i="4" s="1"/>
  <c r="Q111" i="4"/>
  <c r="Q114" i="4" s="1"/>
  <c r="AB111" i="4"/>
  <c r="AB114" i="4" s="1"/>
  <c r="P111" i="4"/>
  <c r="P114" i="4" s="1"/>
  <c r="AA111" i="4"/>
  <c r="AA114" i="4" s="1"/>
  <c r="O111" i="4"/>
  <c r="O114" i="4" s="1"/>
  <c r="I81" i="4"/>
  <c r="Z111" i="4"/>
  <c r="Z114" i="4" s="1"/>
  <c r="N111" i="4"/>
  <c r="N114" i="4" s="1"/>
  <c r="Y111" i="4"/>
  <c r="Y114" i="4" s="1"/>
  <c r="M111" i="4"/>
  <c r="M114" i="4" s="1"/>
  <c r="X111" i="4"/>
  <c r="X114" i="4" s="1"/>
  <c r="L111" i="4"/>
  <c r="L114" i="4" s="1"/>
  <c r="W111" i="4"/>
  <c r="W114" i="4" s="1"/>
  <c r="K111" i="4"/>
  <c r="K114" i="4" s="1"/>
  <c r="F51" i="4"/>
  <c r="T99" i="4"/>
  <c r="F39" i="4"/>
  <c r="F42" i="4" s="1"/>
  <c r="L69" i="4"/>
  <c r="L72" i="4" s="1"/>
  <c r="H102" i="4"/>
  <c r="H99" i="4"/>
  <c r="X69" i="4"/>
  <c r="X72" i="4" s="1"/>
  <c r="R69" i="4"/>
  <c r="R72" i="4" s="1"/>
  <c r="F69" i="4"/>
  <c r="F72" i="4" s="1"/>
  <c r="Z69" i="4"/>
  <c r="Z72" i="4" s="1"/>
  <c r="N69" i="4"/>
  <c r="N72" i="4" s="1"/>
  <c r="Z39" i="4"/>
  <c r="Z42" i="4" s="1"/>
  <c r="N39" i="4"/>
  <c r="N42" i="4" s="1"/>
  <c r="H69" i="4"/>
  <c r="H72" i="4" s="1"/>
  <c r="AG36" i="11"/>
  <c r="AG66" i="11" s="1"/>
  <c r="AG97" i="11" s="1"/>
  <c r="AG128" i="11" s="1"/>
  <c r="Z36" i="11"/>
  <c r="Z66" i="11" s="1"/>
  <c r="Z97" i="11" s="1"/>
  <c r="Z128" i="11" s="1"/>
  <c r="AC36" i="11"/>
  <c r="AC66" i="11" s="1"/>
  <c r="AC97" i="11" s="1"/>
  <c r="AC128" i="11" s="1"/>
  <c r="U36" i="11"/>
  <c r="U66" i="11" s="1"/>
  <c r="U97" i="11" s="1"/>
  <c r="U128" i="11" s="1"/>
  <c r="T36" i="11"/>
  <c r="T66" i="11" s="1"/>
  <c r="T97" i="11" s="1"/>
  <c r="T128" i="11" s="1"/>
  <c r="N36" i="11"/>
  <c r="N66" i="11" s="1"/>
  <c r="N97" i="11" s="1"/>
  <c r="N128" i="11" s="1"/>
  <c r="Q36" i="11"/>
  <c r="Q66" i="11" s="1"/>
  <c r="Q97" i="11" s="1"/>
  <c r="Q128" i="11" s="1"/>
  <c r="I36" i="11"/>
  <c r="I66" i="11" s="1"/>
  <c r="I97" i="11" s="1"/>
  <c r="I128" i="11" s="1"/>
  <c r="H36" i="11"/>
  <c r="H66" i="11" s="1"/>
  <c r="H97" i="11" s="1"/>
  <c r="H128" i="11" s="1"/>
  <c r="E36" i="11"/>
  <c r="E66" i="11" s="1"/>
  <c r="E97" i="11" s="1"/>
  <c r="E128" i="11" s="1"/>
  <c r="D36" i="11"/>
  <c r="D66" i="11" s="1"/>
  <c r="D97" i="11" s="1"/>
  <c r="D128" i="11" s="1"/>
  <c r="AF109" i="11"/>
  <c r="AF140" i="11" s="1"/>
  <c r="AE109" i="11"/>
  <c r="AE140" i="11" s="1"/>
  <c r="AD109" i="11"/>
  <c r="AD140" i="11" s="1"/>
  <c r="AC109" i="11"/>
  <c r="AC140" i="11" s="1"/>
  <c r="AB109" i="11"/>
  <c r="AB140" i="11" s="1"/>
  <c r="AA109" i="11"/>
  <c r="AA140" i="11" s="1"/>
  <c r="Z109" i="11"/>
  <c r="Z140" i="11" s="1"/>
  <c r="Y109" i="11"/>
  <c r="Y140" i="11" s="1"/>
  <c r="X109" i="11"/>
  <c r="X140" i="11" s="1"/>
  <c r="W109" i="11"/>
  <c r="W140" i="11" s="1"/>
  <c r="V109" i="11"/>
  <c r="V140" i="11" s="1"/>
  <c r="U109" i="11"/>
  <c r="U140" i="11" s="1"/>
  <c r="T109" i="11"/>
  <c r="T140" i="11" s="1"/>
  <c r="S109" i="11"/>
  <c r="S140" i="11" s="1"/>
  <c r="R109" i="11"/>
  <c r="R140" i="11" s="1"/>
  <c r="Q109" i="11"/>
  <c r="Q140" i="11" s="1"/>
  <c r="P109" i="11"/>
  <c r="P140" i="11" s="1"/>
  <c r="O109" i="11"/>
  <c r="O140" i="11" s="1"/>
  <c r="N109" i="11"/>
  <c r="N140" i="11" s="1"/>
  <c r="M109" i="11"/>
  <c r="M140" i="11" s="1"/>
  <c r="L109" i="11"/>
  <c r="L140" i="11" s="1"/>
  <c r="K109" i="11"/>
  <c r="K140" i="11" s="1"/>
  <c r="J109" i="11"/>
  <c r="J140" i="11" s="1"/>
  <c r="I109" i="11"/>
  <c r="I140" i="11" s="1"/>
  <c r="H109" i="11"/>
  <c r="H140" i="11" s="1"/>
  <c r="G109" i="11"/>
  <c r="G140" i="11" s="1"/>
  <c r="F109" i="11"/>
  <c r="F140" i="11" s="1"/>
  <c r="E109" i="11"/>
  <c r="E140" i="11" s="1"/>
  <c r="D109" i="11"/>
  <c r="D140" i="11" s="1"/>
  <c r="C45" i="11"/>
  <c r="C75" i="11" s="1"/>
  <c r="C106" i="11" s="1"/>
  <c r="C137" i="11" s="1"/>
  <c r="C33" i="11"/>
  <c r="C63" i="11" s="1"/>
  <c r="C94" i="11" s="1"/>
  <c r="C125" i="11" s="1"/>
  <c r="A146" i="11"/>
  <c r="A143" i="11"/>
  <c r="A140" i="11"/>
  <c r="A115" i="11"/>
  <c r="A112" i="11"/>
  <c r="A109" i="11"/>
  <c r="A84" i="11"/>
  <c r="A81" i="11"/>
  <c r="A78" i="11"/>
  <c r="AA59" i="11"/>
  <c r="AA89" i="11" s="1"/>
  <c r="W59" i="11"/>
  <c r="W89" i="11" s="1"/>
  <c r="W120" i="11" s="1"/>
  <c r="W151" i="11" s="1"/>
  <c r="R59" i="11"/>
  <c r="R89" i="11" s="1"/>
  <c r="R120" i="11" s="1"/>
  <c r="R151" i="11" s="1"/>
  <c r="A54" i="11"/>
  <c r="A51" i="11"/>
  <c r="A48" i="11"/>
  <c r="AI2" i="10"/>
  <c r="AJ7" i="10"/>
  <c r="AL7" i="10"/>
  <c r="AN7" i="10"/>
  <c r="AO7" i="10"/>
  <c r="AP7" i="10"/>
  <c r="AQ7" i="10"/>
  <c r="AR7" i="10"/>
  <c r="AU7" i="10"/>
  <c r="AZ7" i="10"/>
  <c r="BA7" i="10"/>
  <c r="BD7" i="10"/>
  <c r="BE7" i="10"/>
  <c r="BF7" i="10"/>
  <c r="BG7" i="10"/>
  <c r="BJ7" i="10"/>
  <c r="AI7" i="10"/>
  <c r="BC7" i="10"/>
  <c r="BB7" i="10"/>
  <c r="BI7" i="10"/>
  <c r="BH7" i="10"/>
  <c r="AY7" i="10"/>
  <c r="AX7" i="10"/>
  <c r="AW7" i="10"/>
  <c r="AV7" i="10"/>
  <c r="AT7" i="10"/>
  <c r="AS7" i="10"/>
  <c r="AM7" i="10"/>
  <c r="AK7" i="10"/>
  <c r="A48" i="4"/>
  <c r="A114" i="4"/>
  <c r="A111" i="4"/>
  <c r="A108" i="4"/>
  <c r="A84" i="4"/>
  <c r="A81" i="4"/>
  <c r="A78" i="4"/>
  <c r="A24" i="11"/>
  <c r="A21" i="11"/>
  <c r="A18" i="11"/>
  <c r="A54" i="4"/>
  <c r="A51" i="4"/>
  <c r="A24" i="4"/>
  <c r="A21" i="4"/>
  <c r="A18" i="4"/>
  <c r="AA59" i="4"/>
  <c r="AA89" i="4" s="1"/>
  <c r="AA119" i="4" s="1"/>
  <c r="W59" i="4"/>
  <c r="W89" i="4" s="1"/>
  <c r="W119" i="4" s="1"/>
  <c r="R59" i="4"/>
  <c r="R89" i="4" s="1"/>
  <c r="R119" i="4" s="1"/>
  <c r="AA120" i="11" l="1"/>
  <c r="AA151" i="11" s="1"/>
  <c r="E54" i="4"/>
  <c r="E84" i="4" s="1"/>
  <c r="T81" i="4"/>
  <c r="AG127" i="11"/>
  <c r="J81" i="4"/>
  <c r="D54" i="4"/>
  <c r="D84" i="4" s="1"/>
  <c r="Y102" i="4"/>
  <c r="V81" i="4"/>
  <c r="G81" i="4"/>
  <c r="G54" i="4"/>
  <c r="G84" i="4" s="1"/>
  <c r="AG81" i="4"/>
  <c r="AG54" i="4"/>
  <c r="AG84" i="4" s="1"/>
  <c r="H81" i="4"/>
  <c r="H54" i="4"/>
  <c r="H84" i="4" s="1"/>
  <c r="AD99" i="4"/>
  <c r="AD102" i="4"/>
  <c r="E102" i="4"/>
  <c r="U81" i="4"/>
  <c r="C81" i="4"/>
  <c r="C54" i="4"/>
  <c r="C84" i="4" s="1"/>
  <c r="Q102" i="4"/>
  <c r="AC102" i="4"/>
  <c r="AE99" i="4"/>
  <c r="AE102" i="4"/>
  <c r="AF81" i="4"/>
  <c r="F81" i="4"/>
  <c r="F54" i="4"/>
  <c r="F84" i="4" s="1"/>
  <c r="T69" i="4"/>
  <c r="T72" i="4" s="1"/>
  <c r="T102" i="4"/>
  <c r="AF69" i="4"/>
  <c r="AF72" i="4" s="1"/>
  <c r="AG69" i="4"/>
  <c r="AG72" i="4" s="1"/>
  <c r="P69" i="4"/>
  <c r="P72" i="4" s="1"/>
  <c r="AB69" i="4"/>
  <c r="AB72" i="4" s="1"/>
  <c r="M99" i="4"/>
  <c r="M102" i="4"/>
  <c r="R102" i="4"/>
  <c r="R99" i="4"/>
  <c r="W69" i="4"/>
  <c r="W72" i="4" s="1"/>
  <c r="F102" i="4"/>
  <c r="F99" i="4"/>
  <c r="G69" i="4"/>
  <c r="G72" i="4" s="1"/>
  <c r="X99" i="4"/>
  <c r="X102" i="4"/>
  <c r="I69" i="4"/>
  <c r="I72" i="4" s="1"/>
  <c r="U69" i="4"/>
  <c r="U72" i="4" s="1"/>
  <c r="J69" i="4"/>
  <c r="J72" i="4" s="1"/>
  <c r="N99" i="4"/>
  <c r="N102" i="4"/>
  <c r="S69" i="4"/>
  <c r="S72" i="4" s="1"/>
  <c r="V69" i="4"/>
  <c r="V72" i="4" s="1"/>
  <c r="AA69" i="4"/>
  <c r="AA72" i="4" s="1"/>
  <c r="C69" i="4"/>
  <c r="C72" i="4" s="1"/>
  <c r="Z99" i="4"/>
  <c r="Z102" i="4"/>
  <c r="O69" i="4"/>
  <c r="O72" i="4" s="1"/>
  <c r="D69" i="4"/>
  <c r="D72" i="4" s="1"/>
  <c r="K69" i="4"/>
  <c r="K72" i="4" s="1"/>
  <c r="L99" i="4"/>
  <c r="L102" i="4"/>
  <c r="C45" i="4"/>
  <c r="C75" i="4" s="1"/>
  <c r="C105" i="4" s="1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C46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G64" i="4" s="1"/>
  <c r="C34" i="4"/>
  <c r="D34" i="4"/>
  <c r="C63" i="4"/>
  <c r="C93" i="4" s="1"/>
  <c r="AG17" i="11" l="1"/>
  <c r="AG47" i="4" s="1"/>
  <c r="AG77" i="4" s="1"/>
  <c r="AG107" i="4" s="1"/>
  <c r="AG77" i="11"/>
  <c r="AG108" i="11"/>
  <c r="AG47" i="11"/>
  <c r="AG139" i="11"/>
  <c r="Y99" i="4"/>
  <c r="Q99" i="4"/>
  <c r="AC99" i="4"/>
  <c r="E99" i="4"/>
  <c r="AG102" i="4"/>
  <c r="AG99" i="4"/>
  <c r="AF102" i="4"/>
  <c r="AF99" i="4"/>
  <c r="C102" i="4"/>
  <c r="C99" i="4"/>
  <c r="AB102" i="4"/>
  <c r="AB99" i="4"/>
  <c r="U102" i="4"/>
  <c r="U99" i="4"/>
  <c r="I102" i="4"/>
  <c r="I99" i="4"/>
  <c r="AA99" i="4"/>
  <c r="AA102" i="4"/>
  <c r="W99" i="4"/>
  <c r="W102" i="4"/>
  <c r="K99" i="4"/>
  <c r="K102" i="4"/>
  <c r="D102" i="4"/>
  <c r="D99" i="4"/>
  <c r="P102" i="4"/>
  <c r="P99" i="4"/>
  <c r="G99" i="4"/>
  <c r="G102" i="4"/>
  <c r="J99" i="4"/>
  <c r="J102" i="4"/>
  <c r="V99" i="4"/>
  <c r="V102" i="4"/>
  <c r="S102" i="4"/>
  <c r="S99" i="4"/>
  <c r="O99" i="4"/>
  <c r="O102" i="4"/>
  <c r="T76" i="4"/>
  <c r="AD76" i="4"/>
  <c r="R76" i="4"/>
  <c r="F76" i="4"/>
  <c r="AC76" i="4"/>
  <c r="Q76" i="4"/>
  <c r="E76" i="4"/>
  <c r="AB76" i="4"/>
  <c r="P76" i="4"/>
  <c r="D76" i="4"/>
  <c r="AA76" i="4"/>
  <c r="O76" i="4"/>
  <c r="AF76" i="4"/>
  <c r="H76" i="4"/>
  <c r="AE76" i="4"/>
  <c r="S76" i="4"/>
  <c r="G76" i="4"/>
  <c r="Z76" i="4"/>
  <c r="N76" i="4"/>
  <c r="Y76" i="4"/>
  <c r="M76" i="4"/>
  <c r="X76" i="4"/>
  <c r="L76" i="4"/>
  <c r="W76" i="4"/>
  <c r="K76" i="4"/>
  <c r="C76" i="4"/>
  <c r="V76" i="4"/>
  <c r="J76" i="4"/>
  <c r="U76" i="4"/>
  <c r="I76" i="4"/>
  <c r="AD64" i="4"/>
  <c r="L64" i="4"/>
  <c r="K64" i="4"/>
  <c r="C64" i="4"/>
  <c r="V64" i="4"/>
  <c r="J64" i="4"/>
  <c r="AG94" i="4"/>
  <c r="AF64" i="4"/>
  <c r="T64" i="4"/>
  <c r="H64" i="4"/>
  <c r="AE64" i="4"/>
  <c r="S64" i="4"/>
  <c r="G64" i="4"/>
  <c r="F64" i="4"/>
  <c r="R64" i="4"/>
  <c r="AA64" i="4"/>
  <c r="O64" i="4"/>
  <c r="Z64" i="4"/>
  <c r="N64" i="4"/>
  <c r="Y64" i="4"/>
  <c r="M64" i="4"/>
  <c r="P64" i="4"/>
  <c r="W64" i="4"/>
  <c r="AC64" i="4"/>
  <c r="Q64" i="4"/>
  <c r="E64" i="4"/>
  <c r="AB64" i="4"/>
  <c r="X64" i="4"/>
  <c r="D64" i="4"/>
  <c r="U64" i="4"/>
  <c r="I64" i="4"/>
  <c r="AG48" i="11" l="1"/>
  <c r="AG78" i="11" s="1"/>
  <c r="AG109" i="11" s="1"/>
  <c r="AG140" i="11" s="1"/>
  <c r="AG17" i="4"/>
  <c r="L106" i="4"/>
  <c r="G106" i="4"/>
  <c r="AA106" i="4"/>
  <c r="AC106" i="4"/>
  <c r="X106" i="4"/>
  <c r="S106" i="4"/>
  <c r="D106" i="4"/>
  <c r="F106" i="4"/>
  <c r="M106" i="4"/>
  <c r="AE106" i="4"/>
  <c r="P106" i="4"/>
  <c r="R106" i="4"/>
  <c r="U106" i="4"/>
  <c r="W106" i="4"/>
  <c r="Z106" i="4"/>
  <c r="O106" i="4"/>
  <c r="Q106" i="4"/>
  <c r="J106" i="4"/>
  <c r="V106" i="4"/>
  <c r="C106" i="4"/>
  <c r="Y106" i="4"/>
  <c r="H106" i="4"/>
  <c r="AB106" i="4"/>
  <c r="AD106" i="4"/>
  <c r="I106" i="4"/>
  <c r="K106" i="4"/>
  <c r="N106" i="4"/>
  <c r="AF106" i="4"/>
  <c r="E106" i="4"/>
  <c r="T106" i="4"/>
  <c r="I94" i="4"/>
  <c r="U94" i="4"/>
  <c r="O94" i="4"/>
  <c r="G94" i="4"/>
  <c r="T94" i="4"/>
  <c r="N94" i="4"/>
  <c r="K94" i="4"/>
  <c r="AA94" i="4"/>
  <c r="S94" i="4"/>
  <c r="AF94" i="4"/>
  <c r="J94" i="4"/>
  <c r="D94" i="4"/>
  <c r="E94" i="4"/>
  <c r="M94" i="4"/>
  <c r="R94" i="4"/>
  <c r="AE94" i="4"/>
  <c r="V94" i="4"/>
  <c r="Z94" i="4"/>
  <c r="X94" i="4"/>
  <c r="L94" i="4"/>
  <c r="Q94" i="4"/>
  <c r="P94" i="4"/>
  <c r="Y94" i="4"/>
  <c r="F94" i="4"/>
  <c r="C94" i="4"/>
  <c r="AC94" i="4"/>
  <c r="W94" i="4"/>
  <c r="AB94" i="4"/>
  <c r="H94" i="4"/>
  <c r="AD94" i="4"/>
  <c r="C109" i="11" l="1"/>
  <c r="C140" i="11" s="1"/>
</calcChain>
</file>

<file path=xl/sharedStrings.xml><?xml version="1.0" encoding="utf-8"?>
<sst xmlns="http://schemas.openxmlformats.org/spreadsheetml/2006/main" count="1254" uniqueCount="52">
  <si>
    <t>รายการ</t>
  </si>
  <si>
    <t>(ความถี่)</t>
  </si>
  <si>
    <t>เดือน</t>
  </si>
  <si>
    <t>วันที่</t>
  </si>
  <si>
    <t>น้ำยาฆ่าเชื้อ</t>
  </si>
  <si>
    <t>แผน</t>
  </si>
  <si>
    <t>ผู้ปฏิบัติ</t>
  </si>
  <si>
    <t>-</t>
  </si>
  <si>
    <t>ปี</t>
  </si>
  <si>
    <t xml:space="preserve">ชื่อเครื่องมือ    </t>
  </si>
  <si>
    <t>รหัส</t>
  </si>
  <si>
    <t>สถานที่</t>
  </si>
  <si>
    <t xml:space="preserve">จัดทำโดย   </t>
  </si>
  <si>
    <t xml:space="preserve">หมายเหตุ  วงกลม (O) หมายถึง สัปดาห์ที่ต้องทำการบำรุงรักษาเครื่องมือหรือห้องสะอาด เมื่อดำเนินการตามแผนแล้ว ให้ทำเครื่องหมายถูก (ü) ในวงกลมที่ระบุ       </t>
  </si>
  <si>
    <t xml:space="preserve">วันที่ </t>
  </si>
  <si>
    <t xml:space="preserve">อนุมัติโดย   </t>
  </si>
  <si>
    <t>ผู้รับผิดชอบ</t>
  </si>
  <si>
    <t>พีรวัส</t>
  </si>
  <si>
    <t>วรพงศ์</t>
  </si>
  <si>
    <t>ห้องบรรจุน้ำยา</t>
  </si>
  <si>
    <t>O</t>
  </si>
  <si>
    <t>ห้องผสมน้ำยา</t>
  </si>
  <si>
    <t>น้ำยาฆ่าเชื้อ (1) Chlorhex - C   (2) Benz Cl</t>
  </si>
  <si>
    <t>น้ำยา</t>
  </si>
  <si>
    <t>เครื่อง</t>
  </si>
  <si>
    <t>แผน D</t>
  </si>
  <si>
    <t>แผน M</t>
  </si>
  <si>
    <t>แผน DnD</t>
  </si>
  <si>
    <t>ห้องชั่งสารเคมี</t>
  </si>
  <si>
    <t>เภสัชกร</t>
  </si>
  <si>
    <t>บันทึกความดันห้อง (เกณฑ์ 0.09-0.13) (ทุกวันที่ชั่งสารเคมี)</t>
  </si>
  <si>
    <t>บันทึกอุณหภูมิ (เกณฑ์ 18-24 C) (ทุกวันที่ชั่งสารเคมี)</t>
  </si>
  <si>
    <t>บันทึกความชื้นห้อง (เกณฑ์ 40-60%RH) (ทุกวันที่ชั่งสารเคมี)</t>
  </si>
  <si>
    <t>ห้องเชื่อม Pouch</t>
  </si>
  <si>
    <t>(ตามเวรบรรจุ)</t>
  </si>
  <si>
    <t>บันทึกความดันห้อง (เกณฑ์ 0.08-0.12) (ทุกวันที่บรรจุ)</t>
  </si>
  <si>
    <t>บันทึกอุณหภูมิ (เกณฑ์ 18-24 C) (ทุกวันที่บรรจุ)</t>
  </si>
  <si>
    <t>บันทึกความชื้นห้อง (เกณฑ์ 40-60%RH) (ทุกวันที่บรรจุ)</t>
  </si>
  <si>
    <t>บันทึกความดันห้อง (เกณฑ์ 0.11-0.15) (ทุกวันที่บรรจุ)</t>
  </si>
  <si>
    <t>Stick roller, เช็คถูทำความสะอาดพื้นห้อง (วันที่ใช้งาน)</t>
  </si>
  <si>
    <t>Zone B &amp; C (ไม่รวมห้องแต่งตัว</t>
  </si>
  <si>
    <t>Zone B (เฉพาะห้องแต่งตัว)</t>
  </si>
  <si>
    <t>Zone A</t>
  </si>
  <si>
    <t>Zone D และ Zone E</t>
  </si>
  <si>
    <t>Zone F</t>
  </si>
  <si>
    <t>ผล</t>
  </si>
  <si>
    <t/>
  </si>
  <si>
    <t xml:space="preserve"> อนุมัติโดย</t>
  </si>
  <si>
    <t>(ตามเวรทำความสะอาด)</t>
  </si>
  <si>
    <t>แผน/บันทึกการบำรุงรักษาเครื่องมือและห้องสะอาด (วัน)</t>
  </si>
  <si>
    <t>เดือน กรกฎาคม</t>
  </si>
  <si>
    <t>เดือน สิงหาคม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</si>
</sst>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ahoma"/>
      <family val="2"/>
      <charset val="222"/>
      <scheme val="minor"/>
    </font>
    <font>
      <b/>
      <sz val="14"/>
      <color theme="1"/>
      <name val="Angsana New"/>
      <family val="1"/>
    </font>
    <font>
      <b/>
      <sz val="12"/>
      <color rgb="FF000000"/>
      <name val="Angsana New"/>
      <family val="1"/>
    </font>
    <font>
      <sz val="12"/>
      <color rgb="FF000000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sz val="12"/>
      <color theme="1"/>
      <name val="Tahoma"/>
      <family val="2"/>
      <charset val="222"/>
      <scheme val="minor"/>
    </font>
    <font>
      <b/>
      <sz val="12"/>
      <color theme="1"/>
      <name val="Angsana New"/>
      <family val="1"/>
    </font>
    <font>
      <b/>
      <sz val="9"/>
      <color rgb="FF000000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0" borderId="0" xfId="0" applyFont="1"/>
    <xf numFmtId="0" fontId="6" fillId="0" borderId="0" xfId="0" applyFont="1"/>
    <xf numFmtId="49" fontId="6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1" xfId="0" applyFont="1" applyBorder="1"/>
    <xf numFmtId="0" fontId="7" fillId="0" borderId="2" xfId="0" applyFont="1" applyBorder="1" applyAlignment="1">
      <alignment horizontal="right"/>
    </xf>
    <xf numFmtId="0" fontId="4" fillId="0" borderId="3" xfId="0" applyFont="1" applyBorder="1"/>
    <xf numFmtId="0" fontId="4" fillId="0" borderId="0" xfId="0" applyFont="1" applyAlignment="1">
      <alignment horizontal="center"/>
    </xf>
    <xf numFmtId="0" fontId="0" fillId="2" borderId="0" xfId="0" applyFill="1"/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right" vertical="center" wrapText="1"/>
    </xf>
    <xf numFmtId="0" fontId="6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right"/>
    </xf>
    <xf numFmtId="14" fontId="4" fillId="0" borderId="3" xfId="0" applyNumberFormat="1" applyFont="1" applyBorder="1" applyAlignment="1">
      <alignment horizontal="center"/>
    </xf>
    <xf numFmtId="17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7" fontId="3" fillId="0" borderId="5" xfId="0" applyNumberFormat="1" applyFont="1" applyBorder="1" applyAlignment="1">
      <alignment horizontal="center" vertical="center" wrapText="1"/>
    </xf>
    <xf numFmtId="17" fontId="3" fillId="0" borderId="6" xfId="0" applyNumberFormat="1" applyFont="1" applyBorder="1" applyAlignment="1">
      <alignment horizontal="center" vertical="center" wrapText="1"/>
    </xf>
    <xf numFmtId="17" fontId="3" fillId="0" borderId="7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7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3">
    <dxf>
      <font>
        <color theme="0"/>
      </font>
    </dxf>
    <dxf>
      <font>
        <color theme="0"/>
      </font>
    </dxf>
    <dxf>
      <font>
        <u val="none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u val="none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u val="none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u val="none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u val="none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u val="none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u val="none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u val="none"/>
      </font>
      <fill>
        <patternFill>
          <bgColor theme="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NBC-bag2%20document\Acd%20Documents\My%20Documents%20(C)\ISO%209002%20(updated)\Maintenance\&#3649;&#3610;&#3610;&#3615;&#3629;&#3619;&#3660;&#3617;&#3649;&#3612;&#3609;PM\F-BWI%20021-003&#3611;&#3637;69.xlsx" TargetMode="External"/><Relationship Id="rId1" Type="http://schemas.openxmlformats.org/officeDocument/2006/relationships/externalLinkPath" Target="F-BWI%20021-003&#3611;&#3637;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S"/>
      <sheetName val="Yearly"/>
      <sheetName val="Monthly"/>
      <sheetName val="น้ำยา-เครื่อง"/>
      <sheetName val="List Cleanroom"/>
      <sheetName val="List T1"/>
      <sheetName val="List AC6"/>
    </sheetNames>
    <sheetDataSet>
      <sheetData sheetId="0"/>
      <sheetData sheetId="1"/>
      <sheetData sheetId="2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  <cell r="U4">
            <v>19</v>
          </cell>
          <cell r="V4">
            <v>20</v>
          </cell>
          <cell r="W4">
            <v>21</v>
          </cell>
          <cell r="X4">
            <v>22</v>
          </cell>
          <cell r="Y4">
            <v>23</v>
          </cell>
          <cell r="Z4">
            <v>24</v>
          </cell>
          <cell r="AA4">
            <v>25</v>
          </cell>
          <cell r="AB4">
            <v>26</v>
          </cell>
          <cell r="AC4">
            <v>27</v>
          </cell>
          <cell r="AD4">
            <v>28</v>
          </cell>
          <cell r="AE4">
            <v>29</v>
          </cell>
          <cell r="AF4">
            <v>30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0326-D5F9-4215-9F82-817705F75737}">
  <dimension ref="A1:AG151"/>
  <sheetViews>
    <sheetView tabSelected="1" view="pageBreakPreview" zoomScaleNormal="100" zoomScaleSheetLayoutView="100" zoomScalePageLayoutView="70" workbookViewId="0">
      <selection activeCell="C18" sqref="C18:AG18"/>
    </sheetView>
  </sheetViews>
  <sheetFormatPr defaultColWidth="9.125" defaultRowHeight="14.25" x14ac:dyDescent="0.2"/>
  <cols>
    <col min="1" max="1" width="20.625" customWidth="1"/>
    <col min="2" max="2" width="6" bestFit="1" customWidth="1"/>
    <col min="3" max="33" width="3.75" customWidth="1"/>
  </cols>
  <sheetData>
    <row r="1" spans="1:33" ht="23.25" x14ac:dyDescent="0.5">
      <c r="A1" s="27" t="s">
        <v>49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</row>
    <row r="2" spans="1:33" s="1" customFormat="1" ht="21" x14ac:dyDescent="0.45">
      <c r="A2" s="5" t="s">
        <v>9</v>
      </c>
      <c r="B2" s="28" t="s">
        <v>7</v>
      </c>
      <c r="C2" s="28"/>
      <c r="D2" s="28"/>
      <c r="E2" s="28"/>
      <c r="F2" s="28"/>
      <c r="G2" s="28"/>
      <c r="H2" s="5" t="s">
        <v>10</v>
      </c>
      <c r="I2" s="28"/>
      <c r="J2" s="28"/>
      <c r="K2" s="28"/>
      <c r="L2" s="28"/>
      <c r="M2" s="29" t="s">
        <v>11</v>
      </c>
      <c r="N2" s="29"/>
      <c r="O2" s="28" t="s">
        <v>42</v>
      </c>
      <c r="P2" s="28"/>
      <c r="Q2" s="28"/>
      <c r="R2" s="28"/>
      <c r="S2" s="28"/>
      <c r="T2" s="5" t="s">
        <v>8</v>
      </c>
      <c r="U2" s="28">
        <v>2569</v>
      </c>
      <c r="V2" s="28"/>
      <c r="W2" s="29" t="s">
        <v>16</v>
      </c>
      <c r="X2" s="29"/>
      <c r="Y2" s="29"/>
      <c r="Z2" s="1" t="s">
        <v>34</v>
      </c>
    </row>
    <row r="3" spans="1:33" s="2" customFormat="1" ht="18.75" customHeight="1" x14ac:dyDescent="0.2">
      <c r="A3" s="11" t="s">
        <v>0</v>
      </c>
      <c r="B3" s="12" t="s">
        <v>2</v>
      </c>
      <c r="C3" s="25" t="s">
        <v>50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</row>
    <row r="4" spans="1:33" s="3" customFormat="1" ht="18" x14ac:dyDescent="0.2">
      <c r="A4" s="14" t="s">
        <v>1</v>
      </c>
      <c r="B4" s="15" t="s">
        <v>3</v>
      </c>
      <c r="C4" s="13">
        <v>1</v>
      </c>
      <c r="D4" s="13">
        <v>2</v>
      </c>
      <c r="E4" s="13">
        <v>3</v>
      </c>
      <c r="F4" s="13">
        <v>4</v>
      </c>
      <c r="G4" s="13">
        <v>5</v>
      </c>
      <c r="H4" s="13">
        <v>6</v>
      </c>
      <c r="I4" s="13">
        <v>7</v>
      </c>
      <c r="J4" s="13">
        <v>8</v>
      </c>
      <c r="K4" s="13">
        <v>9</v>
      </c>
      <c r="L4" s="13">
        <v>10</v>
      </c>
      <c r="M4" s="13">
        <v>11</v>
      </c>
      <c r="N4" s="13">
        <v>12</v>
      </c>
      <c r="O4" s="13">
        <v>13</v>
      </c>
      <c r="P4" s="13">
        <v>14</v>
      </c>
      <c r="Q4" s="13">
        <v>15</v>
      </c>
      <c r="R4" s="13">
        <v>16</v>
      </c>
      <c r="S4" s="13">
        <v>17</v>
      </c>
      <c r="T4" s="13">
        <v>18</v>
      </c>
      <c r="U4" s="13">
        <v>19</v>
      </c>
      <c r="V4" s="13">
        <v>20</v>
      </c>
      <c r="W4" s="13">
        <v>21</v>
      </c>
      <c r="X4" s="13">
        <v>22</v>
      </c>
      <c r="Y4" s="13">
        <v>23</v>
      </c>
      <c r="Z4" s="13">
        <v>24</v>
      </c>
      <c r="AA4" s="13">
        <v>25</v>
      </c>
      <c r="AB4" s="13">
        <v>26</v>
      </c>
      <c r="AC4" s="13">
        <v>27</v>
      </c>
      <c r="AD4" s="13">
        <v>28</v>
      </c>
      <c r="AE4" s="13">
        <v>29</v>
      </c>
      <c r="AF4" s="13">
        <v>30</v>
      </c>
      <c r="AG4" s="13">
        <v>31</v>
      </c>
    </row>
    <row r="5" spans="1:33" s="2" customFormat="1" ht="18" x14ac:dyDescent="0.2">
      <c r="A5" s="16"/>
      <c r="B5" s="17" t="s">
        <v>4</v>
      </c>
      <c r="C5" s="13">
        <f>_xlfn.IFNA(IF(OR(C4="",C4=0),"",(VLOOKUP($B5,'น้ำยา-เครื่อง'!$A:$AF,C4+1,FALSE))),"")</f>
        <v>1</v>
      </c>
      <c r="D5" s="13">
        <f>_xlfn.IFNA(IF(OR(D4="",D4=0),"",(VLOOKUP($B5,'น้ำยา-เครื่อง'!$A:$AF,D4+1,FALSE))),"")</f>
        <v>1</v>
      </c>
      <c r="E5" s="13">
        <f>_xlfn.IFNA(IF(OR(E4="",E4=0),"",(VLOOKUP($B5,'น้ำยา-เครื่อง'!$A:$AF,E4+1,FALSE))),"")</f>
        <v>1</v>
      </c>
      <c r="F5" s="13">
        <f>_xlfn.IFNA(IF(OR(F4="",F4=0),"",(VLOOKUP($B5,'น้ำยา-เครื่อง'!$A:$AF,F4+1,FALSE))),"")</f>
        <v>0</v>
      </c>
      <c r="G5" s="13">
        <f>_xlfn.IFNA(IF(OR(G4="",G4=0),"",(VLOOKUP($B5,'น้ำยา-เครื่อง'!$A:$AF,G4+1,FALSE))),"")</f>
        <v>0</v>
      </c>
      <c r="H5" s="13">
        <f>_xlfn.IFNA(IF(OR(H4="",H4=0),"",(VLOOKUP($B5,'น้ำยา-เครื่อง'!$A:$AF,H4+1,FALSE))),"")</f>
        <v>2</v>
      </c>
      <c r="I5" s="13">
        <f>_xlfn.IFNA(IF(OR(I4="",I4=0),"",(VLOOKUP($B5,'น้ำยา-เครื่อง'!$A:$AF,I4+1,FALSE))),"")</f>
        <v>2</v>
      </c>
      <c r="J5" s="13">
        <f>_xlfn.IFNA(IF(OR(J4="",J4=0),"",(VLOOKUP($B5,'น้ำยา-เครื่อง'!$A:$AF,J4+1,FALSE))),"")</f>
        <v>2</v>
      </c>
      <c r="K5" s="13">
        <f>_xlfn.IFNA(IF(OR(K4="",K4=0),"",(VLOOKUP($B5,'น้ำยา-เครื่อง'!$A:$AF,K4+1,FALSE))),"")</f>
        <v>2</v>
      </c>
      <c r="L5" s="13">
        <f>_xlfn.IFNA(IF(OR(L4="",L4=0),"",(VLOOKUP($B5,'น้ำยา-เครื่อง'!$A:$AF,L4+1,FALSE))),"")</f>
        <v>2</v>
      </c>
      <c r="M5" s="13">
        <f>_xlfn.IFNA(IF(OR(M4="",M4=0),"",(VLOOKUP($B5,'น้ำยา-เครื่อง'!$A:$AF,M4+1,FALSE))),"")</f>
        <v>0</v>
      </c>
      <c r="N5" s="13">
        <f>_xlfn.IFNA(IF(OR(N4="",N4=0),"",(VLOOKUP($B5,'น้ำยา-เครื่อง'!$A:$AF,N4+1,FALSE))),"")</f>
        <v>0</v>
      </c>
      <c r="O5" s="13">
        <f>_xlfn.IFNA(IF(OR(O4="",O4=0),"",(VLOOKUP($B5,'น้ำยา-เครื่อง'!$A:$AF,O4+1,FALSE))),"")</f>
        <v>1</v>
      </c>
      <c r="P5" s="13">
        <f>_xlfn.IFNA(IF(OR(P4="",P4=0),"",(VLOOKUP($B5,'น้ำยา-เครื่อง'!$A:$AF,P4+1,FALSE))),"")</f>
        <v>1</v>
      </c>
      <c r="Q5" s="13">
        <f>_xlfn.IFNA(IF(OR(Q4="",Q4=0),"",(VLOOKUP($B5,'น้ำยา-เครื่อง'!$A:$AF,Q4+1,FALSE))),"")</f>
        <v>1</v>
      </c>
      <c r="R5" s="13">
        <f>_xlfn.IFNA(IF(OR(R4="",R4=0),"",(VLOOKUP($B5,'น้ำยา-เครื่อง'!$A:$AF,R4+1,FALSE))),"")</f>
        <v>1</v>
      </c>
      <c r="S5" s="13">
        <f>_xlfn.IFNA(IF(OR(S4="",S4=0),"",(VLOOKUP($B5,'น้ำยา-เครื่อง'!$A:$AF,S4+1,FALSE))),"")</f>
        <v>1</v>
      </c>
      <c r="T5" s="13">
        <f>_xlfn.IFNA(IF(OR(T4="",T4=0),"",(VLOOKUP($B5,'น้ำยา-เครื่อง'!$A:$AF,T4+1,FALSE))),"")</f>
        <v>0</v>
      </c>
      <c r="U5" s="13">
        <f>_xlfn.IFNA(IF(OR(U4="",U4=0),"",(VLOOKUP($B5,'น้ำยา-เครื่อง'!$A:$AF,U4+1,FALSE))),"")</f>
        <v>0</v>
      </c>
      <c r="V5" s="13">
        <f>_xlfn.IFNA(IF(OR(V4="",V4=0),"",(VLOOKUP($B5,'น้ำยา-เครื่อง'!$A:$AF,V4+1,FALSE))),"")</f>
        <v>2</v>
      </c>
      <c r="W5" s="13">
        <f>_xlfn.IFNA(IF(OR(W4="",W4=0),"",(VLOOKUP($B5,'น้ำยา-เครื่อง'!$A:$AF,W4+1,FALSE))),"")</f>
        <v>2</v>
      </c>
      <c r="X5" s="13">
        <f>_xlfn.IFNA(IF(OR(X4="",X4=0),"",(VLOOKUP($B5,'น้ำยา-เครื่อง'!$A:$AF,X4+1,FALSE))),"")</f>
        <v>2</v>
      </c>
      <c r="Y5" s="13">
        <f>_xlfn.IFNA(IF(OR(Y4="",Y4=0),"",(VLOOKUP($B5,'น้ำยา-เครื่อง'!$A:$AF,Y4+1,FALSE))),"")</f>
        <v>2</v>
      </c>
      <c r="Z5" s="13">
        <f>_xlfn.IFNA(IF(OR(Z4="",Z4=0),"",(VLOOKUP($B5,'น้ำยา-เครื่อง'!$A:$AF,Z4+1,FALSE))),"")</f>
        <v>2</v>
      </c>
      <c r="AA5" s="13">
        <f>_xlfn.IFNA(IF(OR(AA4="",AA4=0),"",(VLOOKUP($B5,'น้ำยา-เครื่อง'!$A:$AF,AA4+1,FALSE))),"")</f>
        <v>0</v>
      </c>
      <c r="AB5" s="13">
        <f>_xlfn.IFNA(IF(OR(AB4="",AB4=0),"",(VLOOKUP($B5,'น้ำยา-เครื่อง'!$A:$AF,AB4+1,FALSE))),"")</f>
        <v>0</v>
      </c>
      <c r="AC5" s="13">
        <f>_xlfn.IFNA(IF(OR(AC4="",AC4=0),"",(VLOOKUP($B5,'น้ำยา-เครื่อง'!$A:$AF,AC4+1,FALSE))),"")</f>
        <v>1</v>
      </c>
      <c r="AD5" s="13">
        <f>_xlfn.IFNA(IF(OR(AD4="",AD4=0),"",(VLOOKUP($B5,'น้ำยา-เครื่อง'!$A:$AF,AD4+1,FALSE))),"")</f>
        <v>1</v>
      </c>
      <c r="AE5" s="13">
        <f>_xlfn.IFNA(IF(OR(AE4="",AE4=0),"",(VLOOKUP($B5,'น้ำยา-เครื่อง'!$A:$AF,AE4+1,FALSE))),"")</f>
        <v>1</v>
      </c>
      <c r="AF5" s="13">
        <f>_xlfn.IFNA(IF(OR(AF4="",AF4=0),"",(VLOOKUP($B5,'น้ำยา-เครื่อง'!$A:$AF,AF4+1,FALSE))),"")</f>
        <v>1</v>
      </c>
      <c r="AG5" s="13">
        <f>_xlfn.IFNA(IF(OR(AG4="",AG4=0),"",(VLOOKUP($B5,'น้ำยา-เครื่อง'!$A:$AF,AG4+1,FALSE))),"")</f>
        <v>1</v>
      </c>
    </row>
    <row r="6" spans="1:33" s="2" customFormat="1" ht="18" x14ac:dyDescent="0.2">
      <c r="A6" s="21" t="s">
        <v>39</v>
      </c>
      <c r="B6" s="18" t="s">
        <v>5</v>
      </c>
      <c r="C6" s="13" t="s">
        <v>20</v>
      </c>
      <c r="D6" s="13" t="s">
        <v>46</v>
      </c>
      <c r="E6" s="13" t="s">
        <v>46</v>
      </c>
      <c r="F6" s="13" t="s">
        <v>46</v>
      </c>
      <c r="G6" s="13" t="s">
        <v>46</v>
      </c>
      <c r="H6" s="13" t="s">
        <v>46</v>
      </c>
      <c r="I6" s="13" t="s">
        <v>20</v>
      </c>
      <c r="J6" s="13" t="s">
        <v>20</v>
      </c>
      <c r="K6" s="13" t="s">
        <v>20</v>
      </c>
      <c r="L6" s="13" t="s">
        <v>46</v>
      </c>
      <c r="M6" s="13" t="s">
        <v>46</v>
      </c>
      <c r="N6" s="13" t="s">
        <v>46</v>
      </c>
      <c r="O6" s="13" t="s">
        <v>46</v>
      </c>
      <c r="P6" s="13" t="s">
        <v>20</v>
      </c>
      <c r="Q6" s="13" t="s">
        <v>20</v>
      </c>
      <c r="R6" s="13" t="s">
        <v>20</v>
      </c>
      <c r="S6" s="13" t="s">
        <v>46</v>
      </c>
      <c r="T6" s="13" t="s">
        <v>46</v>
      </c>
      <c r="U6" s="13" t="s">
        <v>46</v>
      </c>
      <c r="V6" s="13" t="s">
        <v>46</v>
      </c>
      <c r="W6" s="13" t="s">
        <v>20</v>
      </c>
      <c r="X6" s="13" t="s">
        <v>20</v>
      </c>
      <c r="Y6" s="13" t="s">
        <v>20</v>
      </c>
      <c r="Z6" s="13" t="s">
        <v>46</v>
      </c>
      <c r="AA6" s="13" t="s">
        <v>46</v>
      </c>
      <c r="AB6" s="13" t="s">
        <v>46</v>
      </c>
      <c r="AC6" s="13" t="s">
        <v>46</v>
      </c>
      <c r="AD6" s="13" t="s">
        <v>46</v>
      </c>
      <c r="AE6" s="13" t="s">
        <v>46</v>
      </c>
      <c r="AF6" s="13" t="s">
        <v>46</v>
      </c>
      <c r="AG6" s="13" t="s">
        <v>46</v>
      </c>
    </row>
    <row r="7" spans="1:33" s="2" customFormat="1" ht="18" x14ac:dyDescent="0.2">
      <c r="A7" s="21"/>
      <c r="B7" s="18" t="s">
        <v>6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 t="s">
        <v>46</v>
      </c>
      <c r="AE7" s="19" t="s">
        <v>46</v>
      </c>
      <c r="AF7" s="19" t="s">
        <v>46</v>
      </c>
      <c r="AG7" s="19" t="s">
        <v>46</v>
      </c>
    </row>
    <row r="8" spans="1:33" s="2" customFormat="1" ht="18" x14ac:dyDescent="0.2">
      <c r="A8" s="21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 t="s">
        <v>46</v>
      </c>
      <c r="AE8" s="19" t="s">
        <v>46</v>
      </c>
      <c r="AF8" s="19" t="s">
        <v>46</v>
      </c>
      <c r="AG8" s="19" t="s">
        <v>46</v>
      </c>
    </row>
    <row r="9" spans="1:33" s="2" customFormat="1" ht="18.75" customHeight="1" x14ac:dyDescent="0.2">
      <c r="A9" s="21"/>
      <c r="B9" s="18" t="s">
        <v>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s="2" customFormat="1" ht="18" x14ac:dyDescent="0.2">
      <c r="A10" s="21"/>
      <c r="B10" s="18" t="s">
        <v>6</v>
      </c>
      <c r="C10" s="19" t="s">
        <v>46</v>
      </c>
      <c r="D10" s="19" t="s">
        <v>46</v>
      </c>
      <c r="E10" s="19" t="s">
        <v>46</v>
      </c>
      <c r="F10" s="19" t="s">
        <v>46</v>
      </c>
      <c r="G10" s="19" t="s">
        <v>46</v>
      </c>
      <c r="H10" s="19" t="s">
        <v>46</v>
      </c>
      <c r="I10" s="19" t="s">
        <v>46</v>
      </c>
      <c r="J10" s="19" t="s">
        <v>46</v>
      </c>
      <c r="K10" s="19" t="s">
        <v>46</v>
      </c>
      <c r="L10" s="19" t="s">
        <v>46</v>
      </c>
      <c r="M10" s="19" t="s">
        <v>46</v>
      </c>
      <c r="N10" s="19" t="s">
        <v>46</v>
      </c>
      <c r="O10" s="19" t="s">
        <v>46</v>
      </c>
      <c r="P10" s="19" t="s">
        <v>46</v>
      </c>
      <c r="Q10" s="19" t="s">
        <v>46</v>
      </c>
      <c r="R10" s="19" t="s">
        <v>46</v>
      </c>
      <c r="S10" s="19" t="s">
        <v>46</v>
      </c>
      <c r="T10" s="19" t="s">
        <v>46</v>
      </c>
      <c r="U10" s="19" t="s">
        <v>46</v>
      </c>
      <c r="V10" s="19" t="s">
        <v>46</v>
      </c>
      <c r="W10" s="19" t="s">
        <v>46</v>
      </c>
      <c r="X10" s="19" t="s">
        <v>46</v>
      </c>
      <c r="Y10" s="19" t="s">
        <v>46</v>
      </c>
      <c r="Z10" s="19" t="s">
        <v>46</v>
      </c>
      <c r="AA10" s="19" t="s">
        <v>46</v>
      </c>
      <c r="AB10" s="19" t="s">
        <v>46</v>
      </c>
      <c r="AC10" s="19" t="s">
        <v>46</v>
      </c>
      <c r="AD10" s="19" t="s">
        <v>46</v>
      </c>
      <c r="AE10" s="19" t="s">
        <v>46</v>
      </c>
      <c r="AF10" s="19" t="s">
        <v>46</v>
      </c>
      <c r="AG10" s="19" t="s">
        <v>46</v>
      </c>
    </row>
    <row r="11" spans="1:33" s="2" customFormat="1" ht="18" x14ac:dyDescent="0.2">
      <c r="A11" s="21"/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s="2" customFormat="1" ht="18.75" customHeight="1" x14ac:dyDescent="0.2">
      <c r="A12" s="21"/>
      <c r="B12" s="18" t="s">
        <v>5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s="2" customFormat="1" ht="18" x14ac:dyDescent="0.2">
      <c r="A13" s="21"/>
      <c r="B13" s="18" t="s">
        <v>6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s="2" customFormat="1" ht="18" x14ac:dyDescent="0.2">
      <c r="A14" s="21"/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spans="1:33" s="2" customFormat="1" ht="18.75" customHeight="1" x14ac:dyDescent="0.2">
      <c r="A15" s="11" t="s">
        <v>0</v>
      </c>
      <c r="B15" s="12" t="s">
        <v>2</v>
      </c>
      <c r="C15" s="25" t="s">
        <v>51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</row>
    <row r="16" spans="1:33" s="3" customFormat="1" ht="18" x14ac:dyDescent="0.2">
      <c r="A16" s="14" t="s">
        <v>1</v>
      </c>
      <c r="B16" s="15" t="s">
        <v>3</v>
      </c>
      <c r="C16" s="13">
        <v>1</v>
      </c>
      <c r="D16" s="13">
        <v>2</v>
      </c>
      <c r="E16" s="13">
        <v>3</v>
      </c>
      <c r="F16" s="13">
        <v>4</v>
      </c>
      <c r="G16" s="13">
        <v>5</v>
      </c>
      <c r="H16" s="13">
        <v>6</v>
      </c>
      <c r="I16" s="13">
        <v>7</v>
      </c>
      <c r="J16" s="13">
        <v>8</v>
      </c>
      <c r="K16" s="13">
        <v>9</v>
      </c>
      <c r="L16" s="13">
        <v>10</v>
      </c>
      <c r="M16" s="13">
        <v>11</v>
      </c>
      <c r="N16" s="13">
        <v>12</v>
      </c>
      <c r="O16" s="13">
        <v>13</v>
      </c>
      <c r="P16" s="13">
        <v>14</v>
      </c>
      <c r="Q16" s="13">
        <v>15</v>
      </c>
      <c r="R16" s="13">
        <v>16</v>
      </c>
      <c r="S16" s="13">
        <v>17</v>
      </c>
      <c r="T16" s="13">
        <v>18</v>
      </c>
      <c r="U16" s="13">
        <v>19</v>
      </c>
      <c r="V16" s="13">
        <v>20</v>
      </c>
      <c r="W16" s="13">
        <v>21</v>
      </c>
      <c r="X16" s="13">
        <v>22</v>
      </c>
      <c r="Y16" s="13">
        <v>23</v>
      </c>
      <c r="Z16" s="13">
        <v>24</v>
      </c>
      <c r="AA16" s="13">
        <v>25</v>
      </c>
      <c r="AB16" s="13">
        <v>26</v>
      </c>
      <c r="AC16" s="13">
        <v>27</v>
      </c>
      <c r="AD16" s="13">
        <v>28</v>
      </c>
      <c r="AE16" s="13">
        <v>29</v>
      </c>
      <c r="AF16" s="13">
        <v>30</v>
      </c>
      <c r="AG16" s="13">
        <v>31</v>
      </c>
    </row>
    <row r="17" spans="1:33" s="2" customFormat="1" ht="18" x14ac:dyDescent="0.2">
      <c r="A17" s="16"/>
      <c r="B17" s="17" t="s">
        <v>4</v>
      </c>
      <c r="C17" s="13">
        <f>_xlfn.IFNA(IF(OR(C16="",C16=0),"",(VLOOKUP($B17,'น้ำยา-เครื่อง'!$AH:$BM,C16+1,FALSE))),"")</f>
        <v>0</v>
      </c>
      <c r="D17" s="13">
        <f>_xlfn.IFNA(IF(OR(D16="",D16=0),"",(VLOOKUP($B17,'น้ำยา-เครื่อง'!$AH:$BM,D16+1,FALSE))),"")</f>
        <v>0</v>
      </c>
      <c r="E17" s="13">
        <f>_xlfn.IFNA(IF(OR(E16="",E16=0),"",(VLOOKUP($B17,'น้ำยา-เครื่อง'!$AH:$BM,E16+1,FALSE))),"")</f>
        <v>2</v>
      </c>
      <c r="F17" s="13">
        <f>_xlfn.IFNA(IF(OR(F16="",F16=0),"",(VLOOKUP($B17,'น้ำยา-เครื่อง'!$AH:$BM,F16+1,FALSE))),"")</f>
        <v>2</v>
      </c>
      <c r="G17" s="13">
        <f>_xlfn.IFNA(IF(OR(G16="",G16=0),"",(VLOOKUP($B17,'น้ำยา-เครื่อง'!$AH:$BM,G16+1,FALSE))),"")</f>
        <v>2</v>
      </c>
      <c r="H17" s="13">
        <f>_xlfn.IFNA(IF(OR(H16="",H16=0),"",(VLOOKUP($B17,'น้ำยา-เครื่อง'!$AH:$BM,H16+1,FALSE))),"")</f>
        <v>2</v>
      </c>
      <c r="I17" s="13">
        <f>_xlfn.IFNA(IF(OR(I16="",I16=0),"",(VLOOKUP($B17,'น้ำยา-เครื่อง'!$AH:$BM,I16+1,FALSE))),"")</f>
        <v>2</v>
      </c>
      <c r="J17" s="13">
        <f>_xlfn.IFNA(IF(OR(J16="",J16=0),"",(VLOOKUP($B17,'น้ำยา-เครื่อง'!$AH:$BM,J16+1,FALSE))),"")</f>
        <v>0</v>
      </c>
      <c r="K17" s="13">
        <f>_xlfn.IFNA(IF(OR(K16="",K16=0),"",(VLOOKUP($B17,'น้ำยา-เครื่อง'!$AH:$BM,K16+1,FALSE))),"")</f>
        <v>0</v>
      </c>
      <c r="L17" s="13">
        <f>_xlfn.IFNA(IF(OR(L16="",L16=0),"",(VLOOKUP($B17,'น้ำยา-เครื่อง'!$AH:$BM,L16+1,FALSE))),"")</f>
        <v>1</v>
      </c>
      <c r="M17" s="13">
        <f>_xlfn.IFNA(IF(OR(M16="",M16=0),"",(VLOOKUP($B17,'น้ำยา-เครื่อง'!$AH:$BM,M16+1,FALSE))),"")</f>
        <v>1</v>
      </c>
      <c r="N17" s="13">
        <f>_xlfn.IFNA(IF(OR(N16="",N16=0),"",(VLOOKUP($B17,'น้ำยา-เครื่อง'!$AH:$BM,N16+1,FALSE))),"")</f>
        <v>1</v>
      </c>
      <c r="O17" s="13">
        <f>_xlfn.IFNA(IF(OR(O16="",O16=0),"",(VLOOKUP($B17,'น้ำยา-เครื่อง'!$AH:$BM,O16+1,FALSE))),"")</f>
        <v>1</v>
      </c>
      <c r="P17" s="13">
        <f>_xlfn.IFNA(IF(OR(P16="",P16=0),"",(VLOOKUP($B17,'น้ำยา-เครื่อง'!$AH:$BM,P16+1,FALSE))),"")</f>
        <v>1</v>
      </c>
      <c r="Q17" s="13">
        <f>_xlfn.IFNA(IF(OR(Q16="",Q16=0),"",(VLOOKUP($B17,'น้ำยา-เครื่อง'!$AH:$BM,Q16+1,FALSE))),"")</f>
        <v>0</v>
      </c>
      <c r="R17" s="13">
        <f>_xlfn.IFNA(IF(OR(R16="",R16=0),"",(VLOOKUP($B17,'น้ำยา-เครื่อง'!$AH:$BM,R16+1,FALSE))),"")</f>
        <v>0</v>
      </c>
      <c r="S17" s="13">
        <f>_xlfn.IFNA(IF(OR(S16="",S16=0),"",(VLOOKUP($B17,'น้ำยา-เครื่อง'!$AH:$BM,S16+1,FALSE))),"")</f>
        <v>2</v>
      </c>
      <c r="T17" s="13">
        <f>_xlfn.IFNA(IF(OR(T16="",T16=0),"",(VLOOKUP($B17,'น้ำยา-เครื่อง'!$AH:$BM,T16+1,FALSE))),"")</f>
        <v>2</v>
      </c>
      <c r="U17" s="13">
        <f>_xlfn.IFNA(IF(OR(U16="",U16=0),"",(VLOOKUP($B17,'น้ำยา-เครื่อง'!$AH:$BM,U16+1,FALSE))),"")</f>
        <v>2</v>
      </c>
      <c r="V17" s="13">
        <f>_xlfn.IFNA(IF(OR(V16="",V16=0),"",(VLOOKUP($B17,'น้ำยา-เครื่อง'!$AH:$BM,V16+1,FALSE))),"")</f>
        <v>2</v>
      </c>
      <c r="W17" s="13">
        <f>_xlfn.IFNA(IF(OR(W16="",W16=0),"",(VLOOKUP($B17,'น้ำยา-เครื่อง'!$AH:$BM,W16+1,FALSE))),"")</f>
        <v>2</v>
      </c>
      <c r="X17" s="13">
        <f>_xlfn.IFNA(IF(OR(X16="",X16=0),"",(VLOOKUP($B17,'น้ำยา-เครื่อง'!$AH:$BM,X16+1,FALSE))),"")</f>
        <v>0</v>
      </c>
      <c r="Y17" s="13">
        <f>_xlfn.IFNA(IF(OR(Y16="",Y16=0),"",(VLOOKUP($B17,'น้ำยา-เครื่อง'!$AH:$BM,Y16+1,FALSE))),"")</f>
        <v>0</v>
      </c>
      <c r="Z17" s="13">
        <f>_xlfn.IFNA(IF(OR(Z16="",Z16=0),"",(VLOOKUP($B17,'น้ำยา-เครื่อง'!$AH:$BM,Z16+1,FALSE))),"")</f>
        <v>1</v>
      </c>
      <c r="AA17" s="13">
        <f>_xlfn.IFNA(IF(OR(AA16="",AA16=0),"",(VLOOKUP($B17,'น้ำยา-เครื่อง'!$AH:$BM,AA16+1,FALSE))),"")</f>
        <v>1</v>
      </c>
      <c r="AB17" s="13">
        <f>_xlfn.IFNA(IF(OR(AB16="",AB16=0),"",(VLOOKUP($B17,'น้ำยา-เครื่อง'!$AH:$BM,AB16+1,FALSE))),"")</f>
        <v>1</v>
      </c>
      <c r="AC17" s="13">
        <f>_xlfn.IFNA(IF(OR(AC16="",AC16=0),"",(VLOOKUP($B17,'น้ำยา-เครื่อง'!$AH:$BM,AC16+1,FALSE))),"")</f>
        <v>1</v>
      </c>
      <c r="AD17" s="13">
        <f>_xlfn.IFNA(IF(OR(AD16="",AD16=0),"",(VLOOKUP($B17,'น้ำยา-เครื่อง'!$AH:$BM,AD16+1,FALSE))),"")</f>
        <v>1</v>
      </c>
      <c r="AE17" s="13">
        <f>_xlfn.IFNA(IF(OR(AE16="",AE16=0),"",(VLOOKUP($B17,'น้ำยา-เครื่อง'!$AH:$BM,AE16+1,FALSE))),"")</f>
        <v>0</v>
      </c>
      <c r="AF17" s="13">
        <f>_xlfn.IFNA(IF(OR(AF16="",AF16=0),"",(VLOOKUP($B17,'น้ำยา-เครื่อง'!$AH:$BM,AF16+1,FALSE))),"")</f>
        <v>0</v>
      </c>
      <c r="AG17" s="13">
        <f>_xlfn.IFNA(IF(OR(AG16="",AG16=0),"",(VLOOKUP($B17,'น้ำยา-เครื่อง'!$AH:$BM,AG16+1,FALSE))),"")</f>
        <v>2</v>
      </c>
    </row>
    <row r="18" spans="1:33" s="2" customFormat="1" ht="18" x14ac:dyDescent="0.2">
      <c r="A18" s="21" t="str">
        <f>IF(A6="","",A6)</f>
        <v>Stick roller, เช็คถูทำความสะอาดพื้นห้อง (วันที่ใช้งาน)</v>
      </c>
      <c r="B18" s="18" t="s">
        <v>5</v>
      </c>
      <c r="C18" s="13" t="s">
        <v>46</v>
      </c>
      <c r="D18" s="13" t="s">
        <v>46</v>
      </c>
      <c r="E18" s="13" t="s">
        <v>46</v>
      </c>
      <c r="F18" s="13" t="s">
        <v>20</v>
      </c>
      <c r="G18" s="13" t="s">
        <v>20</v>
      </c>
      <c r="H18" s="13" t="s">
        <v>20</v>
      </c>
      <c r="I18" s="13" t="s">
        <v>46</v>
      </c>
      <c r="J18" s="13" t="s">
        <v>46</v>
      </c>
      <c r="K18" s="13" t="s">
        <v>46</v>
      </c>
      <c r="L18" s="13" t="s">
        <v>46</v>
      </c>
      <c r="M18" s="13" t="s">
        <v>46</v>
      </c>
      <c r="N18" s="13" t="s">
        <v>46</v>
      </c>
      <c r="O18" s="13" t="s">
        <v>20</v>
      </c>
      <c r="P18" s="13" t="s">
        <v>20</v>
      </c>
      <c r="Q18" s="13" t="s">
        <v>46</v>
      </c>
      <c r="R18" s="13" t="s">
        <v>46</v>
      </c>
      <c r="S18" s="13" t="s">
        <v>46</v>
      </c>
      <c r="T18" s="13" t="s">
        <v>20</v>
      </c>
      <c r="U18" s="13" t="s">
        <v>20</v>
      </c>
      <c r="V18" s="13" t="s">
        <v>20</v>
      </c>
      <c r="W18" s="13" t="s">
        <v>46</v>
      </c>
      <c r="X18" s="13" t="s">
        <v>46</v>
      </c>
      <c r="Y18" s="13" t="s">
        <v>46</v>
      </c>
      <c r="Z18" s="13" t="s">
        <v>46</v>
      </c>
      <c r="AA18" s="13" t="s">
        <v>20</v>
      </c>
      <c r="AB18" s="13" t="s">
        <v>20</v>
      </c>
      <c r="AC18" s="13" t="s">
        <v>46</v>
      </c>
      <c r="AD18" s="13" t="s">
        <v>46</v>
      </c>
      <c r="AE18" s="13" t="s">
        <v>46</v>
      </c>
      <c r="AF18" s="13" t="s">
        <v>46</v>
      </c>
      <c r="AG18" s="19" t="s">
        <v>46</v>
      </c>
    </row>
    <row r="19" spans="1:33" s="2" customFormat="1" ht="18" x14ac:dyDescent="0.2">
      <c r="A19" s="21"/>
      <c r="B19" s="18" t="s">
        <v>6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s="2" customFormat="1" ht="18" x14ac:dyDescent="0.2">
      <c r="A20" s="21"/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s="2" customFormat="1" ht="18.75" customHeight="1" x14ac:dyDescent="0.2">
      <c r="A21" s="21" t="str">
        <f>IF(A9="","",A9)</f>
        <v/>
      </c>
      <c r="B21" s="18" t="s">
        <v>5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spans="1:33" s="2" customFormat="1" ht="18" x14ac:dyDescent="0.2">
      <c r="A22" s="21"/>
      <c r="B22" s="18" t="s">
        <v>6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s="2" customFormat="1" ht="18" x14ac:dyDescent="0.2">
      <c r="A23" s="21"/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s="2" customFormat="1" ht="18.75" customHeight="1" x14ac:dyDescent="0.2">
      <c r="A24" s="21" t="str">
        <f>IF(A12="","",A12)</f>
        <v/>
      </c>
      <c r="B24" s="18" t="s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s="2" customFormat="1" ht="18" x14ac:dyDescent="0.2">
      <c r="A25" s="21"/>
      <c r="B25" s="18" t="s">
        <v>6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s="2" customFormat="1" ht="18" x14ac:dyDescent="0.2">
      <c r="A26" s="21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s="4" customFormat="1" ht="18" x14ac:dyDescent="0.4">
      <c r="A27" s="4" t="s">
        <v>13</v>
      </c>
      <c r="W27" s="22" t="s">
        <v>22</v>
      </c>
      <c r="X27" s="22"/>
      <c r="Y27" s="22"/>
      <c r="Z27" s="22"/>
      <c r="AA27" s="22"/>
      <c r="AB27" s="22"/>
      <c r="AC27" s="22"/>
      <c r="AD27" s="9"/>
      <c r="AE27" s="9"/>
      <c r="AF27" s="9"/>
      <c r="AG27" s="9"/>
    </row>
    <row r="28" spans="1:33" s="4" customFormat="1" ht="18" x14ac:dyDescent="0.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s="4" customFormat="1" ht="18" x14ac:dyDescent="0.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23" t="s">
        <v>12</v>
      </c>
      <c r="Q29" s="23"/>
      <c r="R29" s="20" t="s">
        <v>17</v>
      </c>
      <c r="S29" s="20"/>
      <c r="T29" s="20"/>
      <c r="U29" s="23" t="s">
        <v>15</v>
      </c>
      <c r="V29" s="23"/>
      <c r="W29" s="20" t="s">
        <v>18</v>
      </c>
      <c r="X29" s="20"/>
      <c r="Y29" s="20"/>
      <c r="Z29" s="7" t="s">
        <v>14</v>
      </c>
      <c r="AA29" s="24">
        <v>244531</v>
      </c>
      <c r="AB29" s="20"/>
      <c r="AC29" s="20"/>
      <c r="AD29" s="8"/>
      <c r="AE29" s="20"/>
      <c r="AF29" s="20"/>
      <c r="AG29" s="20"/>
    </row>
    <row r="31" spans="1:33" ht="23.25" x14ac:dyDescent="0.5">
      <c r="A31" s="27" t="s">
        <v>49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</row>
    <row r="32" spans="1:33" s="1" customFormat="1" ht="21" x14ac:dyDescent="0.45">
      <c r="A32" s="5" t="s">
        <v>9</v>
      </c>
      <c r="B32" s="28" t="s">
        <v>7</v>
      </c>
      <c r="C32" s="28"/>
      <c r="D32" s="28"/>
      <c r="E32" s="28"/>
      <c r="F32" s="28"/>
      <c r="G32" s="28"/>
      <c r="H32" s="5" t="s">
        <v>10</v>
      </c>
      <c r="I32" s="28"/>
      <c r="J32" s="28"/>
      <c r="K32" s="28"/>
      <c r="L32" s="28"/>
      <c r="M32" s="29" t="s">
        <v>11</v>
      </c>
      <c r="N32" s="29"/>
      <c r="O32" s="33" t="s">
        <v>40</v>
      </c>
      <c r="P32" s="33"/>
      <c r="Q32" s="33"/>
      <c r="R32" s="33"/>
      <c r="S32" s="33"/>
      <c r="T32" s="5" t="s">
        <v>8</v>
      </c>
      <c r="U32" s="28">
        <f>$U$2</f>
        <v>2569</v>
      </c>
      <c r="V32" s="28"/>
      <c r="W32" s="29" t="s">
        <v>16</v>
      </c>
      <c r="X32" s="29"/>
      <c r="Y32" s="29"/>
      <c r="Z32" s="1" t="s">
        <v>48</v>
      </c>
    </row>
    <row r="33" spans="1:33" s="2" customFormat="1" ht="18.75" customHeight="1" x14ac:dyDescent="0.2">
      <c r="A33" s="11" t="s">
        <v>0</v>
      </c>
      <c r="B33" s="12" t="s">
        <v>2</v>
      </c>
      <c r="C33" s="25" t="str">
        <f>C3</f>
        <v>เดือน กรกฎาคม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</row>
    <row r="34" spans="1:33" s="3" customFormat="1" ht="18" x14ac:dyDescent="0.2">
      <c r="A34" s="14" t="s">
        <v>1</v>
      </c>
      <c r="B34" s="15" t="s">
        <v>3</v>
      </c>
      <c r="C34" s="13">
        <f>C4</f>
        <v>1</v>
      </c>
      <c r="D34" s="13">
        <f t="shared" ref="D34:AG34" si="0">D4</f>
        <v>2</v>
      </c>
      <c r="E34" s="13">
        <f t="shared" si="0"/>
        <v>3</v>
      </c>
      <c r="F34" s="13">
        <f t="shared" si="0"/>
        <v>4</v>
      </c>
      <c r="G34" s="13">
        <f t="shared" si="0"/>
        <v>5</v>
      </c>
      <c r="H34" s="13">
        <f t="shared" si="0"/>
        <v>6</v>
      </c>
      <c r="I34" s="13">
        <f t="shared" si="0"/>
        <v>7</v>
      </c>
      <c r="J34" s="13">
        <f t="shared" si="0"/>
        <v>8</v>
      </c>
      <c r="K34" s="13">
        <f t="shared" si="0"/>
        <v>9</v>
      </c>
      <c r="L34" s="13">
        <f t="shared" si="0"/>
        <v>10</v>
      </c>
      <c r="M34" s="13">
        <f t="shared" si="0"/>
        <v>11</v>
      </c>
      <c r="N34" s="13">
        <f t="shared" si="0"/>
        <v>12</v>
      </c>
      <c r="O34" s="13">
        <f t="shared" si="0"/>
        <v>13</v>
      </c>
      <c r="P34" s="13">
        <f t="shared" si="0"/>
        <v>14</v>
      </c>
      <c r="Q34" s="13">
        <f t="shared" si="0"/>
        <v>15</v>
      </c>
      <c r="R34" s="13">
        <f t="shared" si="0"/>
        <v>16</v>
      </c>
      <c r="S34" s="13">
        <f t="shared" si="0"/>
        <v>17</v>
      </c>
      <c r="T34" s="13">
        <f t="shared" si="0"/>
        <v>18</v>
      </c>
      <c r="U34" s="13">
        <f t="shared" si="0"/>
        <v>19</v>
      </c>
      <c r="V34" s="13">
        <f t="shared" si="0"/>
        <v>20</v>
      </c>
      <c r="W34" s="13">
        <f t="shared" si="0"/>
        <v>21</v>
      </c>
      <c r="X34" s="13">
        <f t="shared" si="0"/>
        <v>22</v>
      </c>
      <c r="Y34" s="13">
        <f t="shared" si="0"/>
        <v>23</v>
      </c>
      <c r="Z34" s="13">
        <f t="shared" si="0"/>
        <v>24</v>
      </c>
      <c r="AA34" s="13">
        <f t="shared" si="0"/>
        <v>25</v>
      </c>
      <c r="AB34" s="13">
        <f t="shared" si="0"/>
        <v>26</v>
      </c>
      <c r="AC34" s="13">
        <f t="shared" si="0"/>
        <v>27</v>
      </c>
      <c r="AD34" s="13">
        <f t="shared" si="0"/>
        <v>28</v>
      </c>
      <c r="AE34" s="13">
        <f t="shared" si="0"/>
        <v>29</v>
      </c>
      <c r="AF34" s="13">
        <f t="shared" si="0"/>
        <v>30</v>
      </c>
      <c r="AG34" s="13">
        <f t="shared" si="0"/>
        <v>31</v>
      </c>
    </row>
    <row r="35" spans="1:33" s="2" customFormat="1" ht="18" x14ac:dyDescent="0.2">
      <c r="A35" s="16"/>
      <c r="B35" s="17" t="s">
        <v>4</v>
      </c>
      <c r="C35" s="13">
        <f>_xlfn.IFNA(IF(OR(C34="",C34=0),"",(VLOOKUP($B35,'น้ำยา-เครื่อง'!$A:$AF,C34+1,FALSE))),"")</f>
        <v>1</v>
      </c>
      <c r="D35" s="13">
        <f>_xlfn.IFNA(IF(OR(D34="",D34=0),"",(VLOOKUP($B35,'น้ำยา-เครื่อง'!$A:$AF,D34+1,FALSE))),"")</f>
        <v>1</v>
      </c>
      <c r="E35" s="13">
        <f>_xlfn.IFNA(IF(OR(E34="",E34=0),"",(VLOOKUP($B35,'น้ำยา-เครื่อง'!$A:$AF,E34+1,FALSE))),"")</f>
        <v>1</v>
      </c>
      <c r="F35" s="13">
        <f>_xlfn.IFNA(IF(OR(F34="",F34=0),"",(VLOOKUP($B35,'น้ำยา-เครื่อง'!$A:$AF,F34+1,FALSE))),"")</f>
        <v>0</v>
      </c>
      <c r="G35" s="13">
        <f>_xlfn.IFNA(IF(OR(G34="",G34=0),"",(VLOOKUP($B35,'น้ำยา-เครื่อง'!$A:$AF,G34+1,FALSE))),"")</f>
        <v>0</v>
      </c>
      <c r="H35" s="13">
        <f>_xlfn.IFNA(IF(OR(H34="",H34=0),"",(VLOOKUP($B35,'น้ำยา-เครื่อง'!$A:$AF,H34+1,FALSE))),"")</f>
        <v>2</v>
      </c>
      <c r="I35" s="13">
        <f>_xlfn.IFNA(IF(OR(I34="",I34=0),"",(VLOOKUP($B35,'น้ำยา-เครื่อง'!$A:$AF,I34+1,FALSE))),"")</f>
        <v>2</v>
      </c>
      <c r="J35" s="13">
        <f>_xlfn.IFNA(IF(OR(J34="",J34=0),"",(VLOOKUP($B35,'น้ำยา-เครื่อง'!$A:$AF,J34+1,FALSE))),"")</f>
        <v>2</v>
      </c>
      <c r="K35" s="13">
        <f>_xlfn.IFNA(IF(OR(K34="",K34=0),"",(VLOOKUP($B35,'น้ำยา-เครื่อง'!$A:$AF,K34+1,FALSE))),"")</f>
        <v>2</v>
      </c>
      <c r="L35" s="13">
        <f>_xlfn.IFNA(IF(OR(L34="",L34=0),"",(VLOOKUP($B35,'น้ำยา-เครื่อง'!$A:$AF,L34+1,FALSE))),"")</f>
        <v>2</v>
      </c>
      <c r="M35" s="13">
        <f>_xlfn.IFNA(IF(OR(M34="",M34=0),"",(VLOOKUP($B35,'น้ำยา-เครื่อง'!$A:$AF,M34+1,FALSE))),"")</f>
        <v>0</v>
      </c>
      <c r="N35" s="13">
        <f>_xlfn.IFNA(IF(OR(N34="",N34=0),"",(VLOOKUP($B35,'น้ำยา-เครื่อง'!$A:$AF,N34+1,FALSE))),"")</f>
        <v>0</v>
      </c>
      <c r="O35" s="13">
        <f>_xlfn.IFNA(IF(OR(O34="",O34=0),"",(VLOOKUP($B35,'น้ำยา-เครื่อง'!$A:$AF,O34+1,FALSE))),"")</f>
        <v>1</v>
      </c>
      <c r="P35" s="13">
        <f>_xlfn.IFNA(IF(OR(P34="",P34=0),"",(VLOOKUP($B35,'น้ำยา-เครื่อง'!$A:$AF,P34+1,FALSE))),"")</f>
        <v>1</v>
      </c>
      <c r="Q35" s="13">
        <f>_xlfn.IFNA(IF(OR(Q34="",Q34=0),"",(VLOOKUP($B35,'น้ำยา-เครื่อง'!$A:$AF,Q34+1,FALSE))),"")</f>
        <v>1</v>
      </c>
      <c r="R35" s="13">
        <f>_xlfn.IFNA(IF(OR(R34="",R34=0),"",(VLOOKUP($B35,'น้ำยา-เครื่อง'!$A:$AF,R34+1,FALSE))),"")</f>
        <v>1</v>
      </c>
      <c r="S35" s="13">
        <f>_xlfn.IFNA(IF(OR(S34="",S34=0),"",(VLOOKUP($B35,'น้ำยา-เครื่อง'!$A:$AF,S34+1,FALSE))),"")</f>
        <v>1</v>
      </c>
      <c r="T35" s="13">
        <f>_xlfn.IFNA(IF(OR(T34="",T34=0),"",(VLOOKUP($B35,'น้ำยา-เครื่อง'!$A:$AF,T34+1,FALSE))),"")</f>
        <v>0</v>
      </c>
      <c r="U35" s="13">
        <f>_xlfn.IFNA(IF(OR(U34="",U34=0),"",(VLOOKUP($B35,'น้ำยา-เครื่อง'!$A:$AF,U34+1,FALSE))),"")</f>
        <v>0</v>
      </c>
      <c r="V35" s="13">
        <f>_xlfn.IFNA(IF(OR(V34="",V34=0),"",(VLOOKUP($B35,'น้ำยา-เครื่อง'!$A:$AF,V34+1,FALSE))),"")</f>
        <v>2</v>
      </c>
      <c r="W35" s="13">
        <f>_xlfn.IFNA(IF(OR(W34="",W34=0),"",(VLOOKUP($B35,'น้ำยา-เครื่อง'!$A:$AF,W34+1,FALSE))),"")</f>
        <v>2</v>
      </c>
      <c r="X35" s="13">
        <f>_xlfn.IFNA(IF(OR(X34="",X34=0),"",(VLOOKUP($B35,'น้ำยา-เครื่อง'!$A:$AF,X34+1,FALSE))),"")</f>
        <v>2</v>
      </c>
      <c r="Y35" s="13">
        <f>_xlfn.IFNA(IF(OR(Y34="",Y34=0),"",(VLOOKUP($B35,'น้ำยา-เครื่อง'!$A:$AF,Y34+1,FALSE))),"")</f>
        <v>2</v>
      </c>
      <c r="Z35" s="13">
        <f>_xlfn.IFNA(IF(OR(Z34="",Z34=0),"",(VLOOKUP($B35,'น้ำยา-เครื่อง'!$A:$AF,Z34+1,FALSE))),"")</f>
        <v>2</v>
      </c>
      <c r="AA35" s="13">
        <f>_xlfn.IFNA(IF(OR(AA34="",AA34=0),"",(VLOOKUP($B35,'น้ำยา-เครื่อง'!$A:$AF,AA34+1,FALSE))),"")</f>
        <v>0</v>
      </c>
      <c r="AB35" s="13">
        <f>_xlfn.IFNA(IF(OR(AB34="",AB34=0),"",(VLOOKUP($B35,'น้ำยา-เครื่อง'!$A:$AF,AB34+1,FALSE))),"")</f>
        <v>0</v>
      </c>
      <c r="AC35" s="13">
        <f>_xlfn.IFNA(IF(OR(AC34="",AC34=0),"",(VLOOKUP($B35,'น้ำยา-เครื่อง'!$A:$AF,AC34+1,FALSE))),"")</f>
        <v>1</v>
      </c>
      <c r="AD35" s="13">
        <f>_xlfn.IFNA(IF(OR(AD34="",AD34=0),"",(VLOOKUP($B35,'น้ำยา-เครื่อง'!$A:$AF,AD34+1,FALSE))),"")</f>
        <v>1</v>
      </c>
      <c r="AE35" s="13">
        <f>_xlfn.IFNA(IF(OR(AE34="",AE34=0),"",(VLOOKUP($B35,'น้ำยา-เครื่อง'!$A:$AF,AE34+1,FALSE))),"")</f>
        <v>1</v>
      </c>
      <c r="AF35" s="13">
        <f>_xlfn.IFNA(IF(OR(AF34="",AF34=0),"",(VLOOKUP($B35,'น้ำยา-เครื่อง'!$A:$AF,AF34+1,FALSE))),"")</f>
        <v>1</v>
      </c>
      <c r="AG35" s="13">
        <f>_xlfn.IFNA(IF(OR(AG34="",AG34=0),"",(VLOOKUP($B35,'น้ำยา-เครื่อง'!$A:$AF,AG34+1,FALSE))),"")</f>
        <v>1</v>
      </c>
    </row>
    <row r="36" spans="1:33" s="2" customFormat="1" ht="18" x14ac:dyDescent="0.2">
      <c r="A36" s="21" t="s">
        <v>39</v>
      </c>
      <c r="B36" s="18" t="s">
        <v>5</v>
      </c>
      <c r="C36" s="19" t="str">
        <f>IF(OR(C35=1,C35=2),"O","")</f>
        <v>O</v>
      </c>
      <c r="D36" s="19" t="str">
        <f t="shared" ref="D36:AG36" si="1">IF(OR(D35=1,D35=2),"O","")</f>
        <v>O</v>
      </c>
      <c r="E36" s="19" t="str">
        <f t="shared" si="1"/>
        <v>O</v>
      </c>
      <c r="F36" s="19" t="str">
        <f>IF(OR(F35=1,F35=2),"O","")</f>
        <v/>
      </c>
      <c r="G36" s="19" t="str">
        <f t="shared" si="1"/>
        <v/>
      </c>
      <c r="H36" s="19" t="str">
        <f t="shared" si="1"/>
        <v>O</v>
      </c>
      <c r="I36" s="19" t="str">
        <f t="shared" si="1"/>
        <v>O</v>
      </c>
      <c r="J36" s="19" t="str">
        <f t="shared" si="1"/>
        <v>O</v>
      </c>
      <c r="K36" s="19" t="str">
        <f t="shared" si="1"/>
        <v>O</v>
      </c>
      <c r="L36" s="19" t="str">
        <f t="shared" si="1"/>
        <v>O</v>
      </c>
      <c r="M36" s="19" t="str">
        <f t="shared" si="1"/>
        <v/>
      </c>
      <c r="N36" s="19" t="str">
        <f t="shared" si="1"/>
        <v/>
      </c>
      <c r="O36" s="19" t="str">
        <f t="shared" si="1"/>
        <v>O</v>
      </c>
      <c r="P36" s="19" t="str">
        <f t="shared" si="1"/>
        <v>O</v>
      </c>
      <c r="Q36" s="19" t="str">
        <f t="shared" si="1"/>
        <v>O</v>
      </c>
      <c r="R36" s="19" t="str">
        <f t="shared" si="1"/>
        <v>O</v>
      </c>
      <c r="S36" s="19" t="str">
        <f t="shared" si="1"/>
        <v>O</v>
      </c>
      <c r="T36" s="19" t="str">
        <f t="shared" si="1"/>
        <v/>
      </c>
      <c r="U36" s="19" t="str">
        <f t="shared" si="1"/>
        <v/>
      </c>
      <c r="V36" s="19" t="str">
        <f t="shared" si="1"/>
        <v>O</v>
      </c>
      <c r="W36" s="19" t="str">
        <f t="shared" si="1"/>
        <v>O</v>
      </c>
      <c r="X36" s="19" t="str">
        <f t="shared" si="1"/>
        <v>O</v>
      </c>
      <c r="Y36" s="19" t="str">
        <f t="shared" si="1"/>
        <v>O</v>
      </c>
      <c r="Z36" s="19" t="str">
        <f t="shared" si="1"/>
        <v>O</v>
      </c>
      <c r="AA36" s="19" t="str">
        <f t="shared" si="1"/>
        <v/>
      </c>
      <c r="AB36" s="19" t="str">
        <f t="shared" si="1"/>
        <v/>
      </c>
      <c r="AC36" s="19" t="str">
        <f t="shared" si="1"/>
        <v>O</v>
      </c>
      <c r="AD36" s="19" t="str">
        <f t="shared" si="1"/>
        <v>O</v>
      </c>
      <c r="AE36" s="19" t="str">
        <f t="shared" si="1"/>
        <v>O</v>
      </c>
      <c r="AF36" s="19" t="str">
        <f t="shared" si="1"/>
        <v>O</v>
      </c>
      <c r="AG36" s="19" t="str">
        <f t="shared" si="1"/>
        <v>O</v>
      </c>
    </row>
    <row r="37" spans="1:33" s="2" customFormat="1" ht="18" x14ac:dyDescent="0.2">
      <c r="A37" s="21"/>
      <c r="B37" s="18" t="s">
        <v>6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1:33" s="2" customFormat="1" ht="18" x14ac:dyDescent="0.2">
      <c r="A38" s="21"/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spans="1:33" s="2" customFormat="1" ht="18.75" customHeight="1" x14ac:dyDescent="0.2">
      <c r="A39" s="21"/>
      <c r="B39" s="18" t="s">
        <v>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spans="1:33" s="2" customFormat="1" ht="18" x14ac:dyDescent="0.2">
      <c r="A40" s="21"/>
      <c r="B40" s="18" t="s">
        <v>6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spans="1:33" s="2" customFormat="1" ht="18" x14ac:dyDescent="0.2">
      <c r="A41" s="21"/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spans="1:33" s="2" customFormat="1" ht="18.75" customHeight="1" x14ac:dyDescent="0.2">
      <c r="A42" s="21"/>
      <c r="B42" s="18" t="s">
        <v>5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spans="1:33" s="2" customFormat="1" ht="18" x14ac:dyDescent="0.2">
      <c r="A43" s="21"/>
      <c r="B43" s="18" t="s">
        <v>6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spans="1:33" s="2" customFormat="1" ht="18" x14ac:dyDescent="0.2">
      <c r="A44" s="21"/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s="2" customFormat="1" ht="18.75" customHeight="1" x14ac:dyDescent="0.2">
      <c r="A45" s="11" t="s">
        <v>0</v>
      </c>
      <c r="B45" s="12" t="s">
        <v>2</v>
      </c>
      <c r="C45" s="25" t="str">
        <f>C15</f>
        <v>เดือน สิงหาคม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</row>
    <row r="46" spans="1:33" s="3" customFormat="1" ht="18" x14ac:dyDescent="0.2">
      <c r="A46" s="14" t="s">
        <v>1</v>
      </c>
      <c r="B46" s="15" t="s">
        <v>3</v>
      </c>
      <c r="C46" s="13">
        <f>C16</f>
        <v>1</v>
      </c>
      <c r="D46" s="13">
        <f t="shared" ref="D46:AG46" si="2">D16</f>
        <v>2</v>
      </c>
      <c r="E46" s="13">
        <f t="shared" si="2"/>
        <v>3</v>
      </c>
      <c r="F46" s="13">
        <f t="shared" si="2"/>
        <v>4</v>
      </c>
      <c r="G46" s="13">
        <f t="shared" si="2"/>
        <v>5</v>
      </c>
      <c r="H46" s="13">
        <f t="shared" si="2"/>
        <v>6</v>
      </c>
      <c r="I46" s="13">
        <f t="shared" si="2"/>
        <v>7</v>
      </c>
      <c r="J46" s="13">
        <f t="shared" si="2"/>
        <v>8</v>
      </c>
      <c r="K46" s="13">
        <f t="shared" si="2"/>
        <v>9</v>
      </c>
      <c r="L46" s="13">
        <f t="shared" si="2"/>
        <v>10</v>
      </c>
      <c r="M46" s="13">
        <f t="shared" si="2"/>
        <v>11</v>
      </c>
      <c r="N46" s="13">
        <f t="shared" si="2"/>
        <v>12</v>
      </c>
      <c r="O46" s="13">
        <f t="shared" si="2"/>
        <v>13</v>
      </c>
      <c r="P46" s="13">
        <f t="shared" si="2"/>
        <v>14</v>
      </c>
      <c r="Q46" s="13">
        <f t="shared" si="2"/>
        <v>15</v>
      </c>
      <c r="R46" s="13">
        <f t="shared" si="2"/>
        <v>16</v>
      </c>
      <c r="S46" s="13">
        <f t="shared" si="2"/>
        <v>17</v>
      </c>
      <c r="T46" s="13">
        <f t="shared" si="2"/>
        <v>18</v>
      </c>
      <c r="U46" s="13">
        <f t="shared" si="2"/>
        <v>19</v>
      </c>
      <c r="V46" s="13">
        <f t="shared" si="2"/>
        <v>20</v>
      </c>
      <c r="W46" s="13">
        <f t="shared" si="2"/>
        <v>21</v>
      </c>
      <c r="X46" s="13">
        <f t="shared" si="2"/>
        <v>22</v>
      </c>
      <c r="Y46" s="13">
        <f t="shared" si="2"/>
        <v>23</v>
      </c>
      <c r="Z46" s="13">
        <f t="shared" si="2"/>
        <v>24</v>
      </c>
      <c r="AA46" s="13">
        <f t="shared" si="2"/>
        <v>25</v>
      </c>
      <c r="AB46" s="13">
        <f t="shared" si="2"/>
        <v>26</v>
      </c>
      <c r="AC46" s="13">
        <f t="shared" si="2"/>
        <v>27</v>
      </c>
      <c r="AD46" s="13">
        <f t="shared" si="2"/>
        <v>28</v>
      </c>
      <c r="AE46" s="13">
        <f t="shared" si="2"/>
        <v>29</v>
      </c>
      <c r="AF46" s="13">
        <f t="shared" si="2"/>
        <v>30</v>
      </c>
      <c r="AG46" s="13">
        <f t="shared" si="2"/>
        <v>31</v>
      </c>
    </row>
    <row r="47" spans="1:33" s="2" customFormat="1" ht="18" x14ac:dyDescent="0.2">
      <c r="A47" s="16"/>
      <c r="B47" s="17" t="s">
        <v>4</v>
      </c>
      <c r="C47" s="13">
        <f>_xlfn.IFNA(IF(OR(C46="",C46=0),"",(VLOOKUP($B47,'น้ำยา-เครื่อง'!$AH:$BM,C46+1,FALSE))),"")</f>
        <v>0</v>
      </c>
      <c r="D47" s="13">
        <f>_xlfn.IFNA(IF(OR(D46="",D46=0),"",(VLOOKUP($B47,'น้ำยา-เครื่อง'!$AH:$BM,D46+1,FALSE))),"")</f>
        <v>0</v>
      </c>
      <c r="E47" s="13">
        <f>_xlfn.IFNA(IF(OR(E46="",E46=0),"",(VLOOKUP($B47,'น้ำยา-เครื่อง'!$AH:$BM,E46+1,FALSE))),"")</f>
        <v>2</v>
      </c>
      <c r="F47" s="13">
        <f>_xlfn.IFNA(IF(OR(F46="",F46=0),"",(VLOOKUP($B47,'น้ำยา-เครื่อง'!$AH:$BM,F46+1,FALSE))),"")</f>
        <v>2</v>
      </c>
      <c r="G47" s="13">
        <f>_xlfn.IFNA(IF(OR(G46="",G46=0),"",(VLOOKUP($B47,'น้ำยา-เครื่อง'!$AH:$BM,G46+1,FALSE))),"")</f>
        <v>2</v>
      </c>
      <c r="H47" s="13">
        <f>_xlfn.IFNA(IF(OR(H46="",H46=0),"",(VLOOKUP($B47,'น้ำยา-เครื่อง'!$AH:$BM,H46+1,FALSE))),"")</f>
        <v>2</v>
      </c>
      <c r="I47" s="13">
        <f>_xlfn.IFNA(IF(OR(I46="",I46=0),"",(VLOOKUP($B47,'น้ำยา-เครื่อง'!$AH:$BM,I46+1,FALSE))),"")</f>
        <v>2</v>
      </c>
      <c r="J47" s="13">
        <f>_xlfn.IFNA(IF(OR(J46="",J46=0),"",(VLOOKUP($B47,'น้ำยา-เครื่อง'!$AH:$BM,J46+1,FALSE))),"")</f>
        <v>0</v>
      </c>
      <c r="K47" s="13">
        <f>_xlfn.IFNA(IF(OR(K46="",K46=0),"",(VLOOKUP($B47,'น้ำยา-เครื่อง'!$AH:$BM,K46+1,FALSE))),"")</f>
        <v>0</v>
      </c>
      <c r="L47" s="13">
        <f>_xlfn.IFNA(IF(OR(L46="",L46=0),"",(VLOOKUP($B47,'น้ำยา-เครื่อง'!$AH:$BM,L46+1,FALSE))),"")</f>
        <v>1</v>
      </c>
      <c r="M47" s="13">
        <f>_xlfn.IFNA(IF(OR(M46="",M46=0),"",(VLOOKUP($B47,'น้ำยา-เครื่อง'!$AH:$BM,M46+1,FALSE))),"")</f>
        <v>1</v>
      </c>
      <c r="N47" s="13">
        <f>_xlfn.IFNA(IF(OR(N46="",N46=0),"",(VLOOKUP($B47,'น้ำยา-เครื่อง'!$AH:$BM,N46+1,FALSE))),"")</f>
        <v>1</v>
      </c>
      <c r="O47" s="13">
        <f>_xlfn.IFNA(IF(OR(O46="",O46=0),"",(VLOOKUP($B47,'น้ำยา-เครื่อง'!$AH:$BM,O46+1,FALSE))),"")</f>
        <v>1</v>
      </c>
      <c r="P47" s="13">
        <f>_xlfn.IFNA(IF(OR(P46="",P46=0),"",(VLOOKUP($B47,'น้ำยา-เครื่อง'!$AH:$BM,P46+1,FALSE))),"")</f>
        <v>1</v>
      </c>
      <c r="Q47" s="13">
        <f>_xlfn.IFNA(IF(OR(Q46="",Q46=0),"",(VLOOKUP($B47,'น้ำยา-เครื่อง'!$AH:$BM,Q46+1,FALSE))),"")</f>
        <v>0</v>
      </c>
      <c r="R47" s="13">
        <f>_xlfn.IFNA(IF(OR(R46="",R46=0),"",(VLOOKUP($B47,'น้ำยา-เครื่อง'!$AH:$BM,R46+1,FALSE))),"")</f>
        <v>0</v>
      </c>
      <c r="S47" s="13">
        <f>_xlfn.IFNA(IF(OR(S46="",S46=0),"",(VLOOKUP($B47,'น้ำยา-เครื่อง'!$AH:$BM,S46+1,FALSE))),"")</f>
        <v>2</v>
      </c>
      <c r="T47" s="13">
        <f>_xlfn.IFNA(IF(OR(T46="",T46=0),"",(VLOOKUP($B47,'น้ำยา-เครื่อง'!$AH:$BM,T46+1,FALSE))),"")</f>
        <v>2</v>
      </c>
      <c r="U47" s="13">
        <f>_xlfn.IFNA(IF(OR(U46="",U46=0),"",(VLOOKUP($B47,'น้ำยา-เครื่อง'!$AH:$BM,U46+1,FALSE))),"")</f>
        <v>2</v>
      </c>
      <c r="V47" s="13">
        <f>_xlfn.IFNA(IF(OR(V46="",V46=0),"",(VLOOKUP($B47,'น้ำยา-เครื่อง'!$AH:$BM,V46+1,FALSE))),"")</f>
        <v>2</v>
      </c>
      <c r="W47" s="13">
        <f>_xlfn.IFNA(IF(OR(W46="",W46=0),"",(VLOOKUP($B47,'น้ำยา-เครื่อง'!$AH:$BM,W46+1,FALSE))),"")</f>
        <v>2</v>
      </c>
      <c r="X47" s="13">
        <f>_xlfn.IFNA(IF(OR(X46="",X46=0),"",(VLOOKUP($B47,'น้ำยา-เครื่อง'!$AH:$BM,X46+1,FALSE))),"")</f>
        <v>0</v>
      </c>
      <c r="Y47" s="13">
        <f>_xlfn.IFNA(IF(OR(Y46="",Y46=0),"",(VLOOKUP($B47,'น้ำยา-เครื่อง'!$AH:$BM,Y46+1,FALSE))),"")</f>
        <v>0</v>
      </c>
      <c r="Z47" s="13">
        <f>_xlfn.IFNA(IF(OR(Z46="",Z46=0),"",(VLOOKUP($B47,'น้ำยา-เครื่อง'!$AH:$BM,Z46+1,FALSE))),"")</f>
        <v>1</v>
      </c>
      <c r="AA47" s="13">
        <f>_xlfn.IFNA(IF(OR(AA46="",AA46=0),"",(VLOOKUP($B47,'น้ำยา-เครื่อง'!$AH:$BM,AA46+1,FALSE))),"")</f>
        <v>1</v>
      </c>
      <c r="AB47" s="13">
        <f>_xlfn.IFNA(IF(OR(AB46="",AB46=0),"",(VLOOKUP($B47,'น้ำยา-เครื่อง'!$AH:$BM,AB46+1,FALSE))),"")</f>
        <v>1</v>
      </c>
      <c r="AC47" s="13">
        <f>_xlfn.IFNA(IF(OR(AC46="",AC46=0),"",(VLOOKUP($B47,'น้ำยา-เครื่อง'!$AH:$BM,AC46+1,FALSE))),"")</f>
        <v>1</v>
      </c>
      <c r="AD47" s="13">
        <f>_xlfn.IFNA(IF(OR(AD46="",AD46=0),"",(VLOOKUP($B47,'น้ำยา-เครื่อง'!$AH:$BM,AD46+1,FALSE))),"")</f>
        <v>1</v>
      </c>
      <c r="AE47" s="13">
        <f>_xlfn.IFNA(IF(OR(AE46="",AE46=0),"",(VLOOKUP($B47,'น้ำยา-เครื่อง'!$AH:$BM,AE46+1,FALSE))),"")</f>
        <v>0</v>
      </c>
      <c r="AF47" s="13">
        <f>_xlfn.IFNA(IF(OR(AF46="",AF46=0),"",(VLOOKUP($B47,'น้ำยา-เครื่อง'!$AH:$BM,AF46+1,FALSE))),"")</f>
        <v>0</v>
      </c>
      <c r="AG47" s="13">
        <f>_xlfn.IFNA(IF(OR(AG46="",AG46=0),"",(VLOOKUP($B47,'น้ำยา-เครื่อง'!$AH:$BM,AG46+1,FALSE))),"")</f>
        <v>2</v>
      </c>
    </row>
    <row r="48" spans="1:33" s="2" customFormat="1" ht="18" x14ac:dyDescent="0.2">
      <c r="A48" s="21" t="str">
        <f>IF(A36="","",A36)</f>
        <v>Stick roller, เช็คถูทำความสะอาดพื้นห้อง (วันที่ใช้งาน)</v>
      </c>
      <c r="B48" s="18" t="s">
        <v>5</v>
      </c>
      <c r="C48" s="19" t="str">
        <f>IF(OR(C47=1,C47=2),"O","")</f>
        <v/>
      </c>
      <c r="D48" s="19" t="str">
        <f t="shared" ref="D48:AF48" si="3">IF(OR(D47=1,D47=2),"O","")</f>
        <v/>
      </c>
      <c r="E48" s="19" t="str">
        <f t="shared" si="3"/>
        <v>O</v>
      </c>
      <c r="F48" s="19" t="str">
        <f t="shared" si="3"/>
        <v>O</v>
      </c>
      <c r="G48" s="19" t="str">
        <f t="shared" si="3"/>
        <v>O</v>
      </c>
      <c r="H48" s="19" t="str">
        <f t="shared" si="3"/>
        <v>O</v>
      </c>
      <c r="I48" s="19" t="str">
        <f t="shared" si="3"/>
        <v>O</v>
      </c>
      <c r="J48" s="19" t="str">
        <f t="shared" si="3"/>
        <v/>
      </c>
      <c r="K48" s="19" t="str">
        <f t="shared" si="3"/>
        <v/>
      </c>
      <c r="L48" s="19" t="str">
        <f t="shared" si="3"/>
        <v>O</v>
      </c>
      <c r="M48" s="19" t="str">
        <f t="shared" si="3"/>
        <v>O</v>
      </c>
      <c r="N48" s="19" t="str">
        <f t="shared" si="3"/>
        <v>O</v>
      </c>
      <c r="O48" s="19" t="str">
        <f t="shared" si="3"/>
        <v>O</v>
      </c>
      <c r="P48" s="19" t="str">
        <f t="shared" si="3"/>
        <v>O</v>
      </c>
      <c r="Q48" s="19" t="str">
        <f t="shared" si="3"/>
        <v/>
      </c>
      <c r="R48" s="19" t="str">
        <f t="shared" si="3"/>
        <v/>
      </c>
      <c r="S48" s="19" t="str">
        <f t="shared" si="3"/>
        <v>O</v>
      </c>
      <c r="T48" s="19" t="str">
        <f t="shared" si="3"/>
        <v>O</v>
      </c>
      <c r="U48" s="19" t="str">
        <f t="shared" si="3"/>
        <v>O</v>
      </c>
      <c r="V48" s="19" t="str">
        <f t="shared" si="3"/>
        <v>O</v>
      </c>
      <c r="W48" s="19" t="str">
        <f t="shared" si="3"/>
        <v>O</v>
      </c>
      <c r="X48" s="19" t="str">
        <f t="shared" si="3"/>
        <v/>
      </c>
      <c r="Y48" s="19" t="str">
        <f t="shared" si="3"/>
        <v/>
      </c>
      <c r="Z48" s="19" t="str">
        <f t="shared" si="3"/>
        <v>O</v>
      </c>
      <c r="AA48" s="19" t="str">
        <f t="shared" si="3"/>
        <v>O</v>
      </c>
      <c r="AB48" s="19" t="str">
        <f t="shared" si="3"/>
        <v>O</v>
      </c>
      <c r="AC48" s="19" t="str">
        <f t="shared" si="3"/>
        <v>O</v>
      </c>
      <c r="AD48" s="19" t="str">
        <f t="shared" si="3"/>
        <v>O</v>
      </c>
      <c r="AE48" s="19" t="str">
        <f t="shared" si="3"/>
        <v/>
      </c>
      <c r="AF48" s="19" t="str">
        <f t="shared" si="3"/>
        <v/>
      </c>
      <c r="AG48" s="19" t="str">
        <f>IF(OR(AG47=1,AG47=2),"O","")</f>
        <v>O</v>
      </c>
    </row>
    <row r="49" spans="1:33" s="2" customFormat="1" ht="18" x14ac:dyDescent="0.2">
      <c r="A49" s="21"/>
      <c r="B49" s="18" t="s">
        <v>6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spans="1:33" s="2" customFormat="1" ht="18" x14ac:dyDescent="0.2">
      <c r="A50" s="21"/>
      <c r="B50" s="18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spans="1:33" s="2" customFormat="1" ht="18.75" customHeight="1" x14ac:dyDescent="0.2">
      <c r="A51" s="21" t="str">
        <f>IF(A39="","",A39)</f>
        <v/>
      </c>
      <c r="B51" s="18" t="s">
        <v>5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spans="1:33" s="2" customFormat="1" ht="18" x14ac:dyDescent="0.2">
      <c r="A52" s="21"/>
      <c r="B52" s="18" t="s">
        <v>6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spans="1:33" s="2" customFormat="1" ht="18" x14ac:dyDescent="0.2">
      <c r="A53" s="21"/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spans="1:33" s="2" customFormat="1" ht="18.75" customHeight="1" x14ac:dyDescent="0.2">
      <c r="A54" s="21" t="str">
        <f>IF(A42="","",A42)</f>
        <v/>
      </c>
      <c r="B54" s="18" t="s">
        <v>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spans="1:33" s="2" customFormat="1" ht="18" x14ac:dyDescent="0.2">
      <c r="A55" s="21"/>
      <c r="B55" s="18" t="s">
        <v>6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spans="1:33" s="2" customFormat="1" ht="18" x14ac:dyDescent="0.2">
      <c r="A56" s="21"/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spans="1:33" s="4" customFormat="1" ht="18" x14ac:dyDescent="0.4">
      <c r="A57" s="4" t="s">
        <v>13</v>
      </c>
      <c r="W57" s="22" t="s">
        <v>22</v>
      </c>
      <c r="X57" s="22"/>
      <c r="Y57" s="22"/>
      <c r="Z57" s="22"/>
      <c r="AA57" s="22"/>
      <c r="AB57" s="22"/>
      <c r="AC57" s="22"/>
      <c r="AD57" s="9"/>
      <c r="AE57" s="9"/>
      <c r="AF57" s="9"/>
      <c r="AG57" s="9"/>
    </row>
    <row r="58" spans="1:33" s="4" customFormat="1" ht="18" x14ac:dyDescent="0.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 s="4" customFormat="1" ht="18" x14ac:dyDescent="0.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3" t="s">
        <v>12</v>
      </c>
      <c r="Q59" s="23"/>
      <c r="R59" s="20" t="str">
        <f>R29</f>
        <v>พีรวัส</v>
      </c>
      <c r="S59" s="20"/>
      <c r="T59" s="20"/>
      <c r="U59" s="23" t="s">
        <v>15</v>
      </c>
      <c r="V59" s="23"/>
      <c r="W59" s="20" t="str">
        <f>W29</f>
        <v>วรพงศ์</v>
      </c>
      <c r="X59" s="20"/>
      <c r="Y59" s="20"/>
      <c r="Z59" s="7" t="s">
        <v>14</v>
      </c>
      <c r="AA59" s="24">
        <f>AA29</f>
        <v>244531</v>
      </c>
      <c r="AB59" s="20"/>
      <c r="AC59" s="20"/>
      <c r="AD59" s="8"/>
      <c r="AE59" s="20"/>
      <c r="AF59" s="20"/>
      <c r="AG59" s="20"/>
    </row>
    <row r="61" spans="1:33" ht="23.25" x14ac:dyDescent="0.5">
      <c r="A61" s="27" t="s">
        <v>49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</row>
    <row r="62" spans="1:33" s="1" customFormat="1" ht="21" x14ac:dyDescent="0.45">
      <c r="A62" s="5" t="s">
        <v>9</v>
      </c>
      <c r="B62" s="28" t="s">
        <v>7</v>
      </c>
      <c r="C62" s="28"/>
      <c r="D62" s="28"/>
      <c r="E62" s="28"/>
      <c r="F62" s="28"/>
      <c r="G62" s="28"/>
      <c r="H62" s="5" t="s">
        <v>10</v>
      </c>
      <c r="I62" s="28"/>
      <c r="J62" s="28"/>
      <c r="K62" s="28"/>
      <c r="L62" s="28"/>
      <c r="M62" s="29" t="s">
        <v>11</v>
      </c>
      <c r="N62" s="29"/>
      <c r="O62" s="28" t="s">
        <v>41</v>
      </c>
      <c r="P62" s="28"/>
      <c r="Q62" s="28"/>
      <c r="R62" s="28"/>
      <c r="S62" s="28"/>
      <c r="T62" s="5" t="s">
        <v>8</v>
      </c>
      <c r="U62" s="28">
        <f>$U$2</f>
        <v>2569</v>
      </c>
      <c r="V62" s="28"/>
      <c r="W62" s="29" t="s">
        <v>16</v>
      </c>
      <c r="X62" s="29"/>
      <c r="Y62" s="29"/>
      <c r="Z62" s="1" t="s">
        <v>48</v>
      </c>
    </row>
    <row r="63" spans="1:33" s="2" customFormat="1" ht="18.75" customHeight="1" x14ac:dyDescent="0.2">
      <c r="A63" s="11" t="s">
        <v>0</v>
      </c>
      <c r="B63" s="12" t="s">
        <v>2</v>
      </c>
      <c r="C63" s="25" t="str">
        <f>C33</f>
        <v>เดือน กรกฎาคม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</row>
    <row r="64" spans="1:33" s="3" customFormat="1" ht="18" x14ac:dyDescent="0.2">
      <c r="A64" s="14" t="s">
        <v>1</v>
      </c>
      <c r="B64" s="15" t="s">
        <v>3</v>
      </c>
      <c r="C64" s="13">
        <f>C34</f>
        <v>1</v>
      </c>
      <c r="D64" s="13">
        <f t="shared" ref="D64:AG64" si="4">D34</f>
        <v>2</v>
      </c>
      <c r="E64" s="13">
        <f t="shared" si="4"/>
        <v>3</v>
      </c>
      <c r="F64" s="13">
        <f t="shared" si="4"/>
        <v>4</v>
      </c>
      <c r="G64" s="13">
        <f t="shared" si="4"/>
        <v>5</v>
      </c>
      <c r="H64" s="13">
        <f t="shared" si="4"/>
        <v>6</v>
      </c>
      <c r="I64" s="13">
        <f t="shared" si="4"/>
        <v>7</v>
      </c>
      <c r="J64" s="13">
        <f t="shared" si="4"/>
        <v>8</v>
      </c>
      <c r="K64" s="13">
        <f t="shared" si="4"/>
        <v>9</v>
      </c>
      <c r="L64" s="13">
        <f t="shared" si="4"/>
        <v>10</v>
      </c>
      <c r="M64" s="13">
        <f t="shared" si="4"/>
        <v>11</v>
      </c>
      <c r="N64" s="13">
        <f t="shared" si="4"/>
        <v>12</v>
      </c>
      <c r="O64" s="13">
        <f t="shared" si="4"/>
        <v>13</v>
      </c>
      <c r="P64" s="13">
        <f t="shared" si="4"/>
        <v>14</v>
      </c>
      <c r="Q64" s="13">
        <f t="shared" si="4"/>
        <v>15</v>
      </c>
      <c r="R64" s="13">
        <f t="shared" si="4"/>
        <v>16</v>
      </c>
      <c r="S64" s="13">
        <f t="shared" si="4"/>
        <v>17</v>
      </c>
      <c r="T64" s="13">
        <f t="shared" si="4"/>
        <v>18</v>
      </c>
      <c r="U64" s="13">
        <f t="shared" si="4"/>
        <v>19</v>
      </c>
      <c r="V64" s="13">
        <f t="shared" si="4"/>
        <v>20</v>
      </c>
      <c r="W64" s="13">
        <f t="shared" si="4"/>
        <v>21</v>
      </c>
      <c r="X64" s="13">
        <f t="shared" si="4"/>
        <v>22</v>
      </c>
      <c r="Y64" s="13">
        <f t="shared" si="4"/>
        <v>23</v>
      </c>
      <c r="Z64" s="13">
        <f t="shared" si="4"/>
        <v>24</v>
      </c>
      <c r="AA64" s="13">
        <f t="shared" si="4"/>
        <v>25</v>
      </c>
      <c r="AB64" s="13">
        <f t="shared" si="4"/>
        <v>26</v>
      </c>
      <c r="AC64" s="13">
        <f t="shared" si="4"/>
        <v>27</v>
      </c>
      <c r="AD64" s="13">
        <f t="shared" si="4"/>
        <v>28</v>
      </c>
      <c r="AE64" s="13">
        <f t="shared" si="4"/>
        <v>29</v>
      </c>
      <c r="AF64" s="13">
        <f t="shared" si="4"/>
        <v>30</v>
      </c>
      <c r="AG64" s="13">
        <f t="shared" si="4"/>
        <v>31</v>
      </c>
    </row>
    <row r="65" spans="1:33" s="2" customFormat="1" ht="18" x14ac:dyDescent="0.2">
      <c r="A65" s="16"/>
      <c r="B65" s="17" t="s">
        <v>4</v>
      </c>
      <c r="C65" s="13">
        <f>_xlfn.IFNA(IF(OR(C64="",C64=0),"",(VLOOKUP($B65,'น้ำยา-เครื่อง'!$A:$AF,C64+1,FALSE))),"")</f>
        <v>1</v>
      </c>
      <c r="D65" s="13">
        <f>_xlfn.IFNA(IF(OR(D64="",D64=0),"",(VLOOKUP($B65,'น้ำยา-เครื่อง'!$A:$AF,D64+1,FALSE))),"")</f>
        <v>1</v>
      </c>
      <c r="E65" s="13">
        <f>_xlfn.IFNA(IF(OR(E64="",E64=0),"",(VLOOKUP($B65,'น้ำยา-เครื่อง'!$A:$AF,E64+1,FALSE))),"")</f>
        <v>1</v>
      </c>
      <c r="F65" s="13">
        <f>_xlfn.IFNA(IF(OR(F64="",F64=0),"",(VLOOKUP($B65,'น้ำยา-เครื่อง'!$A:$AF,F64+1,FALSE))),"")</f>
        <v>0</v>
      </c>
      <c r="G65" s="13">
        <f>_xlfn.IFNA(IF(OR(G64="",G64=0),"",(VLOOKUP($B65,'น้ำยา-เครื่อง'!$A:$AF,G64+1,FALSE))),"")</f>
        <v>0</v>
      </c>
      <c r="H65" s="13">
        <f>_xlfn.IFNA(IF(OR(H64="",H64=0),"",(VLOOKUP($B65,'น้ำยา-เครื่อง'!$A:$AF,H64+1,FALSE))),"")</f>
        <v>2</v>
      </c>
      <c r="I65" s="13">
        <f>_xlfn.IFNA(IF(OR(I64="",I64=0),"",(VLOOKUP($B65,'น้ำยา-เครื่อง'!$A:$AF,I64+1,FALSE))),"")</f>
        <v>2</v>
      </c>
      <c r="J65" s="13">
        <f>_xlfn.IFNA(IF(OR(J64="",J64=0),"",(VLOOKUP($B65,'น้ำยา-เครื่อง'!$A:$AF,J64+1,FALSE))),"")</f>
        <v>2</v>
      </c>
      <c r="K65" s="13">
        <f>_xlfn.IFNA(IF(OR(K64="",K64=0),"",(VLOOKUP($B65,'น้ำยา-เครื่อง'!$A:$AF,K64+1,FALSE))),"")</f>
        <v>2</v>
      </c>
      <c r="L65" s="13">
        <f>_xlfn.IFNA(IF(OR(L64="",L64=0),"",(VLOOKUP($B65,'น้ำยา-เครื่อง'!$A:$AF,L64+1,FALSE))),"")</f>
        <v>2</v>
      </c>
      <c r="M65" s="13">
        <f>_xlfn.IFNA(IF(OR(M64="",M64=0),"",(VLOOKUP($B65,'น้ำยา-เครื่อง'!$A:$AF,M64+1,FALSE))),"")</f>
        <v>0</v>
      </c>
      <c r="N65" s="13">
        <f>_xlfn.IFNA(IF(OR(N64="",N64=0),"",(VLOOKUP($B65,'น้ำยา-เครื่อง'!$A:$AF,N64+1,FALSE))),"")</f>
        <v>0</v>
      </c>
      <c r="O65" s="13">
        <f>_xlfn.IFNA(IF(OR(O64="",O64=0),"",(VLOOKUP($B65,'น้ำยา-เครื่อง'!$A:$AF,O64+1,FALSE))),"")</f>
        <v>1</v>
      </c>
      <c r="P65" s="13">
        <f>_xlfn.IFNA(IF(OR(P64="",P64=0),"",(VLOOKUP($B65,'น้ำยา-เครื่อง'!$A:$AF,P64+1,FALSE))),"")</f>
        <v>1</v>
      </c>
      <c r="Q65" s="13">
        <f>_xlfn.IFNA(IF(OR(Q64="",Q64=0),"",(VLOOKUP($B65,'น้ำยา-เครื่อง'!$A:$AF,Q64+1,FALSE))),"")</f>
        <v>1</v>
      </c>
      <c r="R65" s="13">
        <f>_xlfn.IFNA(IF(OR(R64="",R64=0),"",(VLOOKUP($B65,'น้ำยา-เครื่อง'!$A:$AF,R64+1,FALSE))),"")</f>
        <v>1</v>
      </c>
      <c r="S65" s="13">
        <f>_xlfn.IFNA(IF(OR(S64="",S64=0),"",(VLOOKUP($B65,'น้ำยา-เครื่อง'!$A:$AF,S64+1,FALSE))),"")</f>
        <v>1</v>
      </c>
      <c r="T65" s="13">
        <f>_xlfn.IFNA(IF(OR(T64="",T64=0),"",(VLOOKUP($B65,'น้ำยา-เครื่อง'!$A:$AF,T64+1,FALSE))),"")</f>
        <v>0</v>
      </c>
      <c r="U65" s="13">
        <f>_xlfn.IFNA(IF(OR(U64="",U64=0),"",(VLOOKUP($B65,'น้ำยา-เครื่อง'!$A:$AF,U64+1,FALSE))),"")</f>
        <v>0</v>
      </c>
      <c r="V65" s="13">
        <f>_xlfn.IFNA(IF(OR(V64="",V64=0),"",(VLOOKUP($B65,'น้ำยา-เครื่อง'!$A:$AF,V64+1,FALSE))),"")</f>
        <v>2</v>
      </c>
      <c r="W65" s="13">
        <f>_xlfn.IFNA(IF(OR(W64="",W64=0),"",(VLOOKUP($B65,'น้ำยา-เครื่อง'!$A:$AF,W64+1,FALSE))),"")</f>
        <v>2</v>
      </c>
      <c r="X65" s="13">
        <f>_xlfn.IFNA(IF(OR(X64="",X64=0),"",(VLOOKUP($B65,'น้ำยา-เครื่อง'!$A:$AF,X64+1,FALSE))),"")</f>
        <v>2</v>
      </c>
      <c r="Y65" s="13">
        <f>_xlfn.IFNA(IF(OR(Y64="",Y64=0),"",(VLOOKUP($B65,'น้ำยา-เครื่อง'!$A:$AF,Y64+1,FALSE))),"")</f>
        <v>2</v>
      </c>
      <c r="Z65" s="13">
        <f>_xlfn.IFNA(IF(OR(Z64="",Z64=0),"",(VLOOKUP($B65,'น้ำยา-เครื่อง'!$A:$AF,Z64+1,FALSE))),"")</f>
        <v>2</v>
      </c>
      <c r="AA65" s="13">
        <f>_xlfn.IFNA(IF(OR(AA64="",AA64=0),"",(VLOOKUP($B65,'น้ำยา-เครื่อง'!$A:$AF,AA64+1,FALSE))),"")</f>
        <v>0</v>
      </c>
      <c r="AB65" s="13">
        <f>_xlfn.IFNA(IF(OR(AB64="",AB64=0),"",(VLOOKUP($B65,'น้ำยา-เครื่อง'!$A:$AF,AB64+1,FALSE))),"")</f>
        <v>0</v>
      </c>
      <c r="AC65" s="13">
        <f>_xlfn.IFNA(IF(OR(AC64="",AC64=0),"",(VLOOKUP($B65,'น้ำยา-เครื่อง'!$A:$AF,AC64+1,FALSE))),"")</f>
        <v>1</v>
      </c>
      <c r="AD65" s="13">
        <f>_xlfn.IFNA(IF(OR(AD64="",AD64=0),"",(VLOOKUP($B65,'น้ำยา-เครื่อง'!$A:$AF,AD64+1,FALSE))),"")</f>
        <v>1</v>
      </c>
      <c r="AE65" s="13">
        <f>_xlfn.IFNA(IF(OR(AE64="",AE64=0),"",(VLOOKUP($B65,'น้ำยา-เครื่อง'!$A:$AF,AE64+1,FALSE))),"")</f>
        <v>1</v>
      </c>
      <c r="AF65" s="13">
        <f>_xlfn.IFNA(IF(OR(AF64="",AF64=0),"",(VLOOKUP($B65,'น้ำยา-เครื่อง'!$A:$AF,AF64+1,FALSE))),"")</f>
        <v>1</v>
      </c>
      <c r="AG65" s="13">
        <f>_xlfn.IFNA(IF(OR(AG64="",AG64=0),"",(VLOOKUP($B65,'น้ำยา-เครื่อง'!$A:$AF,AG64+1,FALSE))),"")</f>
        <v>1</v>
      </c>
    </row>
    <row r="66" spans="1:33" s="2" customFormat="1" ht="18" x14ac:dyDescent="0.2">
      <c r="A66" s="21" t="s">
        <v>39</v>
      </c>
      <c r="B66" s="18" t="s">
        <v>5</v>
      </c>
      <c r="C66" s="19" t="str">
        <f>C36</f>
        <v>O</v>
      </c>
      <c r="D66" s="19" t="str">
        <f t="shared" ref="D66:AG66" si="5">D36</f>
        <v>O</v>
      </c>
      <c r="E66" s="19" t="str">
        <f t="shared" si="5"/>
        <v>O</v>
      </c>
      <c r="F66" s="19" t="str">
        <f t="shared" si="5"/>
        <v/>
      </c>
      <c r="G66" s="19" t="str">
        <f t="shared" si="5"/>
        <v/>
      </c>
      <c r="H66" s="19" t="str">
        <f t="shared" si="5"/>
        <v>O</v>
      </c>
      <c r="I66" s="19" t="str">
        <f t="shared" si="5"/>
        <v>O</v>
      </c>
      <c r="J66" s="19" t="str">
        <f t="shared" si="5"/>
        <v>O</v>
      </c>
      <c r="K66" s="19" t="str">
        <f t="shared" si="5"/>
        <v>O</v>
      </c>
      <c r="L66" s="19" t="str">
        <f t="shared" si="5"/>
        <v>O</v>
      </c>
      <c r="M66" s="19" t="str">
        <f t="shared" si="5"/>
        <v/>
      </c>
      <c r="N66" s="19" t="str">
        <f t="shared" si="5"/>
        <v/>
      </c>
      <c r="O66" s="19" t="str">
        <f t="shared" si="5"/>
        <v>O</v>
      </c>
      <c r="P66" s="19" t="str">
        <f t="shared" si="5"/>
        <v>O</v>
      </c>
      <c r="Q66" s="19" t="str">
        <f t="shared" si="5"/>
        <v>O</v>
      </c>
      <c r="R66" s="19" t="str">
        <f t="shared" si="5"/>
        <v>O</v>
      </c>
      <c r="S66" s="19" t="str">
        <f t="shared" si="5"/>
        <v>O</v>
      </c>
      <c r="T66" s="19" t="str">
        <f t="shared" si="5"/>
        <v/>
      </c>
      <c r="U66" s="19" t="str">
        <f t="shared" si="5"/>
        <v/>
      </c>
      <c r="V66" s="19" t="str">
        <f t="shared" si="5"/>
        <v>O</v>
      </c>
      <c r="W66" s="19" t="str">
        <f t="shared" si="5"/>
        <v>O</v>
      </c>
      <c r="X66" s="19" t="str">
        <f t="shared" si="5"/>
        <v>O</v>
      </c>
      <c r="Y66" s="19" t="str">
        <f t="shared" si="5"/>
        <v>O</v>
      </c>
      <c r="Z66" s="19" t="str">
        <f t="shared" si="5"/>
        <v>O</v>
      </c>
      <c r="AA66" s="19" t="str">
        <f t="shared" si="5"/>
        <v/>
      </c>
      <c r="AB66" s="19" t="str">
        <f t="shared" si="5"/>
        <v/>
      </c>
      <c r="AC66" s="19" t="str">
        <f t="shared" si="5"/>
        <v>O</v>
      </c>
      <c r="AD66" s="19" t="str">
        <f t="shared" si="5"/>
        <v>O</v>
      </c>
      <c r="AE66" s="19" t="str">
        <f t="shared" si="5"/>
        <v>O</v>
      </c>
      <c r="AF66" s="19" t="str">
        <f t="shared" si="5"/>
        <v>O</v>
      </c>
      <c r="AG66" s="19" t="str">
        <f t="shared" si="5"/>
        <v>O</v>
      </c>
    </row>
    <row r="67" spans="1:33" s="2" customFormat="1" ht="18" x14ac:dyDescent="0.2">
      <c r="A67" s="21"/>
      <c r="B67" s="18" t="s">
        <v>6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spans="1:33" s="2" customFormat="1" ht="18" x14ac:dyDescent="0.2">
      <c r="A68" s="21"/>
      <c r="B68" s="18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spans="1:33" s="2" customFormat="1" ht="18.75" customHeight="1" x14ac:dyDescent="0.2">
      <c r="A69" s="21"/>
      <c r="B69" s="18" t="s">
        <v>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spans="1:33" s="2" customFormat="1" ht="18" x14ac:dyDescent="0.2">
      <c r="A70" s="21"/>
      <c r="B70" s="18" t="s">
        <v>6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spans="1:33" s="2" customFormat="1" ht="18" x14ac:dyDescent="0.2">
      <c r="A71" s="21"/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spans="1:33" s="2" customFormat="1" ht="18.75" customHeight="1" x14ac:dyDescent="0.2">
      <c r="A72" s="21"/>
      <c r="B72" s="18" t="s">
        <v>5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spans="1:33" s="2" customFormat="1" ht="18" x14ac:dyDescent="0.2">
      <c r="A73" s="21"/>
      <c r="B73" s="18" t="s">
        <v>6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spans="1:33" s="2" customFormat="1" ht="18" x14ac:dyDescent="0.2">
      <c r="A74" s="21"/>
      <c r="B74" s="18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spans="1:33" s="2" customFormat="1" ht="18.75" customHeight="1" x14ac:dyDescent="0.2">
      <c r="A75" s="11" t="s">
        <v>0</v>
      </c>
      <c r="B75" s="12" t="s">
        <v>2</v>
      </c>
      <c r="C75" s="25" t="str">
        <f>C45</f>
        <v>เดือน สิงหาคม</v>
      </c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</row>
    <row r="76" spans="1:33" s="3" customFormat="1" ht="18" x14ac:dyDescent="0.2">
      <c r="A76" s="14" t="s">
        <v>1</v>
      </c>
      <c r="B76" s="15" t="s">
        <v>3</v>
      </c>
      <c r="C76" s="13">
        <f>C16</f>
        <v>1</v>
      </c>
      <c r="D76" s="13">
        <f t="shared" ref="D76:AG76" si="6">D16</f>
        <v>2</v>
      </c>
      <c r="E76" s="13">
        <f t="shared" si="6"/>
        <v>3</v>
      </c>
      <c r="F76" s="13">
        <f t="shared" si="6"/>
        <v>4</v>
      </c>
      <c r="G76" s="13">
        <f t="shared" si="6"/>
        <v>5</v>
      </c>
      <c r="H76" s="13">
        <f t="shared" si="6"/>
        <v>6</v>
      </c>
      <c r="I76" s="13">
        <f t="shared" si="6"/>
        <v>7</v>
      </c>
      <c r="J76" s="13">
        <f t="shared" si="6"/>
        <v>8</v>
      </c>
      <c r="K76" s="13">
        <f t="shared" si="6"/>
        <v>9</v>
      </c>
      <c r="L76" s="13">
        <f t="shared" si="6"/>
        <v>10</v>
      </c>
      <c r="M76" s="13">
        <f t="shared" si="6"/>
        <v>11</v>
      </c>
      <c r="N76" s="13">
        <f t="shared" si="6"/>
        <v>12</v>
      </c>
      <c r="O76" s="13">
        <f t="shared" si="6"/>
        <v>13</v>
      </c>
      <c r="P76" s="13">
        <f t="shared" si="6"/>
        <v>14</v>
      </c>
      <c r="Q76" s="13">
        <f t="shared" si="6"/>
        <v>15</v>
      </c>
      <c r="R76" s="13">
        <f t="shared" si="6"/>
        <v>16</v>
      </c>
      <c r="S76" s="13">
        <f t="shared" si="6"/>
        <v>17</v>
      </c>
      <c r="T76" s="13">
        <f t="shared" si="6"/>
        <v>18</v>
      </c>
      <c r="U76" s="13">
        <f t="shared" si="6"/>
        <v>19</v>
      </c>
      <c r="V76" s="13">
        <f t="shared" si="6"/>
        <v>20</v>
      </c>
      <c r="W76" s="13">
        <f t="shared" si="6"/>
        <v>21</v>
      </c>
      <c r="X76" s="13">
        <f t="shared" si="6"/>
        <v>22</v>
      </c>
      <c r="Y76" s="13">
        <f t="shared" si="6"/>
        <v>23</v>
      </c>
      <c r="Z76" s="13">
        <f t="shared" si="6"/>
        <v>24</v>
      </c>
      <c r="AA76" s="13">
        <f t="shared" si="6"/>
        <v>25</v>
      </c>
      <c r="AB76" s="13">
        <f t="shared" si="6"/>
        <v>26</v>
      </c>
      <c r="AC76" s="13">
        <f t="shared" si="6"/>
        <v>27</v>
      </c>
      <c r="AD76" s="13">
        <f t="shared" si="6"/>
        <v>28</v>
      </c>
      <c r="AE76" s="13">
        <f t="shared" si="6"/>
        <v>29</v>
      </c>
      <c r="AF76" s="13">
        <f t="shared" si="6"/>
        <v>30</v>
      </c>
      <c r="AG76" s="13">
        <f t="shared" si="6"/>
        <v>31</v>
      </c>
    </row>
    <row r="77" spans="1:33" s="2" customFormat="1" ht="18" x14ac:dyDescent="0.2">
      <c r="A77" s="16"/>
      <c r="B77" s="17" t="s">
        <v>4</v>
      </c>
      <c r="C77" s="13">
        <f>_xlfn.IFNA(IF(OR(C76="",C76=0),"",(VLOOKUP($B77,'น้ำยา-เครื่อง'!$AH:$BM,C76+1,FALSE))),"")</f>
        <v>0</v>
      </c>
      <c r="D77" s="13">
        <f>_xlfn.IFNA(IF(OR(D76="",D76=0),"",(VLOOKUP($B77,'น้ำยา-เครื่อง'!$AH:$BM,D76+1,FALSE))),"")</f>
        <v>0</v>
      </c>
      <c r="E77" s="13">
        <f>_xlfn.IFNA(IF(OR(E76="",E76=0),"",(VLOOKUP($B77,'น้ำยา-เครื่อง'!$AH:$BM,E76+1,FALSE))),"")</f>
        <v>2</v>
      </c>
      <c r="F77" s="13">
        <f>_xlfn.IFNA(IF(OR(F76="",F76=0),"",(VLOOKUP($B77,'น้ำยา-เครื่อง'!$AH:$BM,F76+1,FALSE))),"")</f>
        <v>2</v>
      </c>
      <c r="G77" s="13">
        <f>_xlfn.IFNA(IF(OR(G76="",G76=0),"",(VLOOKUP($B77,'น้ำยา-เครื่อง'!$AH:$BM,G76+1,FALSE))),"")</f>
        <v>2</v>
      </c>
      <c r="H77" s="13">
        <f>_xlfn.IFNA(IF(OR(H76="",H76=0),"",(VLOOKUP($B77,'น้ำยา-เครื่อง'!$AH:$BM,H76+1,FALSE))),"")</f>
        <v>2</v>
      </c>
      <c r="I77" s="13">
        <f>_xlfn.IFNA(IF(OR(I76="",I76=0),"",(VLOOKUP($B77,'น้ำยา-เครื่อง'!$AH:$BM,I76+1,FALSE))),"")</f>
        <v>2</v>
      </c>
      <c r="J77" s="13">
        <f>_xlfn.IFNA(IF(OR(J76="",J76=0),"",(VLOOKUP($B77,'น้ำยา-เครื่อง'!$AH:$BM,J76+1,FALSE))),"")</f>
        <v>0</v>
      </c>
      <c r="K77" s="13">
        <f>_xlfn.IFNA(IF(OR(K76="",K76=0),"",(VLOOKUP($B77,'น้ำยา-เครื่อง'!$AH:$BM,K76+1,FALSE))),"")</f>
        <v>0</v>
      </c>
      <c r="L77" s="13">
        <f>_xlfn.IFNA(IF(OR(L76="",L76=0),"",(VLOOKUP($B77,'น้ำยา-เครื่อง'!$AH:$BM,L76+1,FALSE))),"")</f>
        <v>1</v>
      </c>
      <c r="M77" s="13">
        <f>_xlfn.IFNA(IF(OR(M76="",M76=0),"",(VLOOKUP($B77,'น้ำยา-เครื่อง'!$AH:$BM,M76+1,FALSE))),"")</f>
        <v>1</v>
      </c>
      <c r="N77" s="13">
        <f>_xlfn.IFNA(IF(OR(N76="",N76=0),"",(VLOOKUP($B77,'น้ำยา-เครื่อง'!$AH:$BM,N76+1,FALSE))),"")</f>
        <v>1</v>
      </c>
      <c r="O77" s="13">
        <f>_xlfn.IFNA(IF(OR(O76="",O76=0),"",(VLOOKUP($B77,'น้ำยา-เครื่อง'!$AH:$BM,O76+1,FALSE))),"")</f>
        <v>1</v>
      </c>
      <c r="P77" s="13">
        <f>_xlfn.IFNA(IF(OR(P76="",P76=0),"",(VLOOKUP($B77,'น้ำยา-เครื่อง'!$AH:$BM,P76+1,FALSE))),"")</f>
        <v>1</v>
      </c>
      <c r="Q77" s="13">
        <f>_xlfn.IFNA(IF(OR(Q76="",Q76=0),"",(VLOOKUP($B77,'น้ำยา-เครื่อง'!$AH:$BM,Q76+1,FALSE))),"")</f>
        <v>0</v>
      </c>
      <c r="R77" s="13">
        <f>_xlfn.IFNA(IF(OR(R76="",R76=0),"",(VLOOKUP($B77,'น้ำยา-เครื่อง'!$AH:$BM,R76+1,FALSE))),"")</f>
        <v>0</v>
      </c>
      <c r="S77" s="13">
        <f>_xlfn.IFNA(IF(OR(S76="",S76=0),"",(VLOOKUP($B77,'น้ำยา-เครื่อง'!$AH:$BM,S76+1,FALSE))),"")</f>
        <v>2</v>
      </c>
      <c r="T77" s="13">
        <f>_xlfn.IFNA(IF(OR(T76="",T76=0),"",(VLOOKUP($B77,'น้ำยา-เครื่อง'!$AH:$BM,T76+1,FALSE))),"")</f>
        <v>2</v>
      </c>
      <c r="U77" s="13">
        <f>_xlfn.IFNA(IF(OR(U76="",U76=0),"",(VLOOKUP($B77,'น้ำยา-เครื่อง'!$AH:$BM,U76+1,FALSE))),"")</f>
        <v>2</v>
      </c>
      <c r="V77" s="13">
        <f>_xlfn.IFNA(IF(OR(V76="",V76=0),"",(VLOOKUP($B77,'น้ำยา-เครื่อง'!$AH:$BM,V76+1,FALSE))),"")</f>
        <v>2</v>
      </c>
      <c r="W77" s="13">
        <f>_xlfn.IFNA(IF(OR(W76="",W76=0),"",(VLOOKUP($B77,'น้ำยา-เครื่อง'!$AH:$BM,W76+1,FALSE))),"")</f>
        <v>2</v>
      </c>
      <c r="X77" s="13">
        <f>_xlfn.IFNA(IF(OR(X76="",X76=0),"",(VLOOKUP($B77,'น้ำยา-เครื่อง'!$AH:$BM,X76+1,FALSE))),"")</f>
        <v>0</v>
      </c>
      <c r="Y77" s="13">
        <f>_xlfn.IFNA(IF(OR(Y76="",Y76=0),"",(VLOOKUP($B77,'น้ำยา-เครื่อง'!$AH:$BM,Y76+1,FALSE))),"")</f>
        <v>0</v>
      </c>
      <c r="Z77" s="13">
        <f>_xlfn.IFNA(IF(OR(Z76="",Z76=0),"",(VLOOKUP($B77,'น้ำยา-เครื่อง'!$AH:$BM,Z76+1,FALSE))),"")</f>
        <v>1</v>
      </c>
      <c r="AA77" s="13">
        <f>_xlfn.IFNA(IF(OR(AA76="",AA76=0),"",(VLOOKUP($B77,'น้ำยา-เครื่อง'!$AH:$BM,AA76+1,FALSE))),"")</f>
        <v>1</v>
      </c>
      <c r="AB77" s="13">
        <f>_xlfn.IFNA(IF(OR(AB76="",AB76=0),"",(VLOOKUP($B77,'น้ำยา-เครื่อง'!$AH:$BM,AB76+1,FALSE))),"")</f>
        <v>1</v>
      </c>
      <c r="AC77" s="13">
        <f>_xlfn.IFNA(IF(OR(AC76="",AC76=0),"",(VLOOKUP($B77,'น้ำยา-เครื่อง'!$AH:$BM,AC76+1,FALSE))),"")</f>
        <v>1</v>
      </c>
      <c r="AD77" s="13">
        <f>_xlfn.IFNA(IF(OR(AD76="",AD76=0),"",(VLOOKUP($B77,'น้ำยา-เครื่อง'!$AH:$BM,AD76+1,FALSE))),"")</f>
        <v>1</v>
      </c>
      <c r="AE77" s="13">
        <f>_xlfn.IFNA(IF(OR(AE76="",AE76=0),"",(VLOOKUP($B77,'น้ำยา-เครื่อง'!$AH:$BM,AE76+1,FALSE))),"")</f>
        <v>0</v>
      </c>
      <c r="AF77" s="13">
        <f>_xlfn.IFNA(IF(OR(AF76="",AF76=0),"",(VLOOKUP($B77,'น้ำยา-เครื่อง'!$AH:$BM,AF76+1,FALSE))),"")</f>
        <v>0</v>
      </c>
      <c r="AG77" s="13">
        <f>_xlfn.IFNA(IF(OR(AG76="",AG76=0),"",(VLOOKUP($B77,'น้ำยา-เครื่อง'!$AH:$BM,AG76+1,FALSE))),"")</f>
        <v>2</v>
      </c>
    </row>
    <row r="78" spans="1:33" s="2" customFormat="1" ht="18" x14ac:dyDescent="0.2">
      <c r="A78" s="21" t="str">
        <f>IF(A66="","",A66)</f>
        <v>Stick roller, เช็คถูทำความสะอาดพื้นห้อง (วันที่ใช้งาน)</v>
      </c>
      <c r="B78" s="18" t="s">
        <v>5</v>
      </c>
      <c r="C78" s="19" t="str">
        <f>C48</f>
        <v/>
      </c>
      <c r="D78" s="19" t="str">
        <f t="shared" ref="D78:AG78" si="7">D48</f>
        <v/>
      </c>
      <c r="E78" s="19" t="str">
        <f t="shared" si="7"/>
        <v>O</v>
      </c>
      <c r="F78" s="19" t="str">
        <f t="shared" si="7"/>
        <v>O</v>
      </c>
      <c r="G78" s="19" t="str">
        <f t="shared" si="7"/>
        <v>O</v>
      </c>
      <c r="H78" s="19" t="str">
        <f t="shared" si="7"/>
        <v>O</v>
      </c>
      <c r="I78" s="19" t="str">
        <f t="shared" si="7"/>
        <v>O</v>
      </c>
      <c r="J78" s="19" t="str">
        <f t="shared" si="7"/>
        <v/>
      </c>
      <c r="K78" s="19" t="str">
        <f t="shared" si="7"/>
        <v/>
      </c>
      <c r="L78" s="19" t="str">
        <f t="shared" si="7"/>
        <v>O</v>
      </c>
      <c r="M78" s="19" t="str">
        <f t="shared" si="7"/>
        <v>O</v>
      </c>
      <c r="N78" s="19" t="str">
        <f t="shared" si="7"/>
        <v>O</v>
      </c>
      <c r="O78" s="19" t="str">
        <f t="shared" si="7"/>
        <v>O</v>
      </c>
      <c r="P78" s="19" t="str">
        <f t="shared" si="7"/>
        <v>O</v>
      </c>
      <c r="Q78" s="19" t="str">
        <f t="shared" si="7"/>
        <v/>
      </c>
      <c r="R78" s="19" t="str">
        <f t="shared" si="7"/>
        <v/>
      </c>
      <c r="S78" s="19" t="str">
        <f t="shared" si="7"/>
        <v>O</v>
      </c>
      <c r="T78" s="19" t="str">
        <f t="shared" si="7"/>
        <v>O</v>
      </c>
      <c r="U78" s="19" t="str">
        <f t="shared" si="7"/>
        <v>O</v>
      </c>
      <c r="V78" s="19" t="str">
        <f t="shared" si="7"/>
        <v>O</v>
      </c>
      <c r="W78" s="19" t="str">
        <f t="shared" si="7"/>
        <v>O</v>
      </c>
      <c r="X78" s="19" t="str">
        <f t="shared" si="7"/>
        <v/>
      </c>
      <c r="Y78" s="19" t="str">
        <f t="shared" si="7"/>
        <v/>
      </c>
      <c r="Z78" s="19" t="str">
        <f t="shared" si="7"/>
        <v>O</v>
      </c>
      <c r="AA78" s="19" t="str">
        <f t="shared" si="7"/>
        <v>O</v>
      </c>
      <c r="AB78" s="19" t="str">
        <f t="shared" si="7"/>
        <v>O</v>
      </c>
      <c r="AC78" s="19" t="str">
        <f t="shared" si="7"/>
        <v>O</v>
      </c>
      <c r="AD78" s="19" t="str">
        <f t="shared" si="7"/>
        <v>O</v>
      </c>
      <c r="AE78" s="19" t="str">
        <f>AE48</f>
        <v/>
      </c>
      <c r="AF78" s="19" t="str">
        <f t="shared" si="7"/>
        <v/>
      </c>
      <c r="AG78" s="19" t="str">
        <f t="shared" si="7"/>
        <v>O</v>
      </c>
    </row>
    <row r="79" spans="1:33" s="2" customFormat="1" ht="18" x14ac:dyDescent="0.2">
      <c r="A79" s="21"/>
      <c r="B79" s="18" t="s">
        <v>6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spans="1:33" s="2" customFormat="1" ht="18" x14ac:dyDescent="0.2">
      <c r="A80" s="21"/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spans="1:33" s="2" customFormat="1" ht="18.75" customHeight="1" x14ac:dyDescent="0.2">
      <c r="A81" s="21" t="str">
        <f>IF(A69="","",A69)</f>
        <v/>
      </c>
      <c r="B81" s="18" t="s">
        <v>5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spans="1:33" s="2" customFormat="1" ht="18" x14ac:dyDescent="0.2">
      <c r="A82" s="21"/>
      <c r="B82" s="18" t="s">
        <v>6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spans="1:33" s="2" customFormat="1" ht="18" x14ac:dyDescent="0.2">
      <c r="A83" s="21"/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spans="1:33" s="2" customFormat="1" ht="18.75" customHeight="1" x14ac:dyDescent="0.2">
      <c r="A84" s="21" t="str">
        <f>IF(A72="","",A72)</f>
        <v/>
      </c>
      <c r="B84" s="18" t="s">
        <v>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spans="1:33" s="2" customFormat="1" ht="18" x14ac:dyDescent="0.2">
      <c r="A85" s="21"/>
      <c r="B85" s="18" t="s">
        <v>6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spans="1:33" s="2" customFormat="1" ht="18" x14ac:dyDescent="0.2">
      <c r="A86" s="21"/>
      <c r="B86" s="18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spans="1:33" s="4" customFormat="1" ht="18" x14ac:dyDescent="0.4">
      <c r="A87" s="4" t="s">
        <v>13</v>
      </c>
      <c r="W87" s="22" t="s">
        <v>22</v>
      </c>
      <c r="X87" s="22"/>
      <c r="Y87" s="22"/>
      <c r="Z87" s="22"/>
      <c r="AA87" s="22"/>
      <c r="AB87" s="22"/>
      <c r="AC87" s="22"/>
      <c r="AD87" s="9"/>
      <c r="AE87" s="9"/>
      <c r="AF87" s="9"/>
      <c r="AG87" s="9"/>
    </row>
    <row r="88" spans="1:33" s="4" customFormat="1" ht="18" x14ac:dyDescent="0.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s="4" customFormat="1" ht="18" x14ac:dyDescent="0.4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3" t="s">
        <v>12</v>
      </c>
      <c r="Q89" s="23"/>
      <c r="R89" s="20" t="str">
        <f>R59</f>
        <v>พีรวัส</v>
      </c>
      <c r="S89" s="20"/>
      <c r="T89" s="20"/>
      <c r="U89" s="23" t="s">
        <v>15</v>
      </c>
      <c r="V89" s="23"/>
      <c r="W89" s="20" t="str">
        <f>W59</f>
        <v>วรพงศ์</v>
      </c>
      <c r="X89" s="20"/>
      <c r="Y89" s="20"/>
      <c r="Z89" s="7" t="s">
        <v>14</v>
      </c>
      <c r="AA89" s="24">
        <f>AA59</f>
        <v>244531</v>
      </c>
      <c r="AB89" s="20"/>
      <c r="AC89" s="20"/>
      <c r="AD89" s="8"/>
      <c r="AE89" s="20"/>
      <c r="AF89" s="20"/>
      <c r="AG89" s="20"/>
    </row>
    <row r="92" spans="1:33" ht="23.25" x14ac:dyDescent="0.5">
      <c r="A92" s="27" t="s">
        <v>49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</row>
    <row r="93" spans="1:33" s="1" customFormat="1" ht="21" x14ac:dyDescent="0.45">
      <c r="A93" s="5" t="s">
        <v>9</v>
      </c>
      <c r="B93" s="28" t="s">
        <v>7</v>
      </c>
      <c r="C93" s="28"/>
      <c r="D93" s="28"/>
      <c r="E93" s="28"/>
      <c r="F93" s="28"/>
      <c r="G93" s="28"/>
      <c r="H93" s="5" t="s">
        <v>10</v>
      </c>
      <c r="I93" s="28"/>
      <c r="J93" s="28"/>
      <c r="K93" s="28"/>
      <c r="L93" s="28"/>
      <c r="M93" s="29" t="s">
        <v>11</v>
      </c>
      <c r="N93" s="29"/>
      <c r="O93" s="28" t="s">
        <v>43</v>
      </c>
      <c r="P93" s="28"/>
      <c r="Q93" s="28"/>
      <c r="R93" s="28"/>
      <c r="S93" s="28"/>
      <c r="T93" s="5" t="s">
        <v>8</v>
      </c>
      <c r="U93" s="28">
        <f>$U$2</f>
        <v>2569</v>
      </c>
      <c r="V93" s="28"/>
      <c r="W93" s="29" t="s">
        <v>16</v>
      </c>
      <c r="X93" s="29"/>
      <c r="Y93" s="29"/>
      <c r="Z93" s="1" t="s">
        <v>48</v>
      </c>
    </row>
    <row r="94" spans="1:33" s="2" customFormat="1" ht="18.75" customHeight="1" x14ac:dyDescent="0.2">
      <c r="A94" s="11" t="s">
        <v>0</v>
      </c>
      <c r="B94" s="12" t="s">
        <v>2</v>
      </c>
      <c r="C94" s="30" t="str">
        <f>C63</f>
        <v>เดือน กรกฎาคม</v>
      </c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2"/>
    </row>
    <row r="95" spans="1:33" s="3" customFormat="1" ht="18" x14ac:dyDescent="0.2">
      <c r="A95" s="14" t="s">
        <v>1</v>
      </c>
      <c r="B95" s="15" t="s">
        <v>3</v>
      </c>
      <c r="C95" s="13">
        <f>C4</f>
        <v>1</v>
      </c>
      <c r="D95" s="13">
        <f t="shared" ref="D95:AG95" si="8">D4</f>
        <v>2</v>
      </c>
      <c r="E95" s="13">
        <f t="shared" si="8"/>
        <v>3</v>
      </c>
      <c r="F95" s="13">
        <f t="shared" si="8"/>
        <v>4</v>
      </c>
      <c r="G95" s="13">
        <f t="shared" si="8"/>
        <v>5</v>
      </c>
      <c r="H95" s="13">
        <f t="shared" si="8"/>
        <v>6</v>
      </c>
      <c r="I95" s="13">
        <f t="shared" si="8"/>
        <v>7</v>
      </c>
      <c r="J95" s="13">
        <f t="shared" si="8"/>
        <v>8</v>
      </c>
      <c r="K95" s="13">
        <f t="shared" si="8"/>
        <v>9</v>
      </c>
      <c r="L95" s="13">
        <f t="shared" si="8"/>
        <v>10</v>
      </c>
      <c r="M95" s="13">
        <f t="shared" si="8"/>
        <v>11</v>
      </c>
      <c r="N95" s="13">
        <f t="shared" si="8"/>
        <v>12</v>
      </c>
      <c r="O95" s="13">
        <f t="shared" si="8"/>
        <v>13</v>
      </c>
      <c r="P95" s="13">
        <f t="shared" si="8"/>
        <v>14</v>
      </c>
      <c r="Q95" s="13">
        <f t="shared" si="8"/>
        <v>15</v>
      </c>
      <c r="R95" s="13">
        <f t="shared" si="8"/>
        <v>16</v>
      </c>
      <c r="S95" s="13">
        <f t="shared" si="8"/>
        <v>17</v>
      </c>
      <c r="T95" s="13">
        <f t="shared" si="8"/>
        <v>18</v>
      </c>
      <c r="U95" s="13">
        <f t="shared" si="8"/>
        <v>19</v>
      </c>
      <c r="V95" s="13">
        <f t="shared" si="8"/>
        <v>20</v>
      </c>
      <c r="W95" s="13">
        <f t="shared" si="8"/>
        <v>21</v>
      </c>
      <c r="X95" s="13">
        <f t="shared" si="8"/>
        <v>22</v>
      </c>
      <c r="Y95" s="13">
        <f t="shared" si="8"/>
        <v>23</v>
      </c>
      <c r="Z95" s="13">
        <f t="shared" si="8"/>
        <v>24</v>
      </c>
      <c r="AA95" s="13">
        <f t="shared" si="8"/>
        <v>25</v>
      </c>
      <c r="AB95" s="13">
        <f t="shared" si="8"/>
        <v>26</v>
      </c>
      <c r="AC95" s="13">
        <f t="shared" si="8"/>
        <v>27</v>
      </c>
      <c r="AD95" s="13">
        <f t="shared" si="8"/>
        <v>28</v>
      </c>
      <c r="AE95" s="13">
        <f t="shared" si="8"/>
        <v>29</v>
      </c>
      <c r="AF95" s="13">
        <f t="shared" si="8"/>
        <v>30</v>
      </c>
      <c r="AG95" s="13">
        <f t="shared" si="8"/>
        <v>31</v>
      </c>
    </row>
    <row r="96" spans="1:33" s="2" customFormat="1" ht="18" x14ac:dyDescent="0.2">
      <c r="A96" s="16"/>
      <c r="B96" s="17" t="s">
        <v>4</v>
      </c>
      <c r="C96" s="13">
        <f>_xlfn.IFNA(IF(OR(C95="",C95=0),"",(VLOOKUP($B96,'น้ำยา-เครื่อง'!$A:$AF,C95+1,FALSE))),"")</f>
        <v>1</v>
      </c>
      <c r="D96" s="13">
        <f>_xlfn.IFNA(IF(OR(D95="",D95=0),"",(VLOOKUP($B96,'น้ำยา-เครื่อง'!$A:$AF,D95+1,FALSE))),"")</f>
        <v>1</v>
      </c>
      <c r="E96" s="13">
        <f>_xlfn.IFNA(IF(OR(E95="",E95=0),"",(VLOOKUP($B96,'น้ำยา-เครื่อง'!$A:$AF,E95+1,FALSE))),"")</f>
        <v>1</v>
      </c>
      <c r="F96" s="13">
        <f>_xlfn.IFNA(IF(OR(F95="",F95=0),"",(VLOOKUP($B96,'น้ำยา-เครื่อง'!$A:$AF,F95+1,FALSE))),"")</f>
        <v>0</v>
      </c>
      <c r="G96" s="13">
        <f>_xlfn.IFNA(IF(OR(G95="",G95=0),"",(VLOOKUP($B96,'น้ำยา-เครื่อง'!$A:$AF,G95+1,FALSE))),"")</f>
        <v>0</v>
      </c>
      <c r="H96" s="13">
        <f>_xlfn.IFNA(IF(OR(H95="",H95=0),"",(VLOOKUP($B96,'น้ำยา-เครื่อง'!$A:$AF,H95+1,FALSE))),"")</f>
        <v>2</v>
      </c>
      <c r="I96" s="13">
        <f>_xlfn.IFNA(IF(OR(I95="",I95=0),"",(VLOOKUP($B96,'น้ำยา-เครื่อง'!$A:$AF,I95+1,FALSE))),"")</f>
        <v>2</v>
      </c>
      <c r="J96" s="13">
        <f>_xlfn.IFNA(IF(OR(J95="",J95=0),"",(VLOOKUP($B96,'น้ำยา-เครื่อง'!$A:$AF,J95+1,FALSE))),"")</f>
        <v>2</v>
      </c>
      <c r="K96" s="13">
        <f>_xlfn.IFNA(IF(OR(K95="",K95=0),"",(VLOOKUP($B96,'น้ำยา-เครื่อง'!$A:$AF,K95+1,FALSE))),"")</f>
        <v>2</v>
      </c>
      <c r="L96" s="13">
        <f>_xlfn.IFNA(IF(OR(L95="",L95=0),"",(VLOOKUP($B96,'น้ำยา-เครื่อง'!$A:$AF,L95+1,FALSE))),"")</f>
        <v>2</v>
      </c>
      <c r="M96" s="13">
        <f>_xlfn.IFNA(IF(OR(M95="",M95=0),"",(VLOOKUP($B96,'น้ำยา-เครื่อง'!$A:$AF,M95+1,FALSE))),"")</f>
        <v>0</v>
      </c>
      <c r="N96" s="13">
        <f>_xlfn.IFNA(IF(OR(N95="",N95=0),"",(VLOOKUP($B96,'น้ำยา-เครื่อง'!$A:$AF,N95+1,FALSE))),"")</f>
        <v>0</v>
      </c>
      <c r="O96" s="13">
        <f>_xlfn.IFNA(IF(OR(O95="",O95=0),"",(VLOOKUP($B96,'น้ำยา-เครื่อง'!$A:$AF,O95+1,FALSE))),"")</f>
        <v>1</v>
      </c>
      <c r="P96" s="13">
        <f>_xlfn.IFNA(IF(OR(P95="",P95=0),"",(VLOOKUP($B96,'น้ำยา-เครื่อง'!$A:$AF,P95+1,FALSE))),"")</f>
        <v>1</v>
      </c>
      <c r="Q96" s="13">
        <f>_xlfn.IFNA(IF(OR(Q95="",Q95=0),"",(VLOOKUP($B96,'น้ำยา-เครื่อง'!$A:$AF,Q95+1,FALSE))),"")</f>
        <v>1</v>
      </c>
      <c r="R96" s="13">
        <f>_xlfn.IFNA(IF(OR(R95="",R95=0),"",(VLOOKUP($B96,'น้ำยา-เครื่อง'!$A:$AF,R95+1,FALSE))),"")</f>
        <v>1</v>
      </c>
      <c r="S96" s="13">
        <f>_xlfn.IFNA(IF(OR(S95="",S95=0),"",(VLOOKUP($B96,'น้ำยา-เครื่อง'!$A:$AF,S95+1,FALSE))),"")</f>
        <v>1</v>
      </c>
      <c r="T96" s="13">
        <f>_xlfn.IFNA(IF(OR(T95="",T95=0),"",(VLOOKUP($B96,'น้ำยา-เครื่อง'!$A:$AF,T95+1,FALSE))),"")</f>
        <v>0</v>
      </c>
      <c r="U96" s="13">
        <f>_xlfn.IFNA(IF(OR(U95="",U95=0),"",(VLOOKUP($B96,'น้ำยา-เครื่อง'!$A:$AF,U95+1,FALSE))),"")</f>
        <v>0</v>
      </c>
      <c r="V96" s="13">
        <f>_xlfn.IFNA(IF(OR(V95="",V95=0),"",(VLOOKUP($B96,'น้ำยา-เครื่อง'!$A:$AF,V95+1,FALSE))),"")</f>
        <v>2</v>
      </c>
      <c r="W96" s="13">
        <f>_xlfn.IFNA(IF(OR(W95="",W95=0),"",(VLOOKUP($B96,'น้ำยา-เครื่อง'!$A:$AF,W95+1,FALSE))),"")</f>
        <v>2</v>
      </c>
      <c r="X96" s="13">
        <f>_xlfn.IFNA(IF(OR(X95="",X95=0),"",(VLOOKUP($B96,'น้ำยา-เครื่อง'!$A:$AF,X95+1,FALSE))),"")</f>
        <v>2</v>
      </c>
      <c r="Y96" s="13">
        <f>_xlfn.IFNA(IF(OR(Y95="",Y95=0),"",(VLOOKUP($B96,'น้ำยา-เครื่อง'!$A:$AF,Y95+1,FALSE))),"")</f>
        <v>2</v>
      </c>
      <c r="Z96" s="13">
        <f>_xlfn.IFNA(IF(OR(Z95="",Z95=0),"",(VLOOKUP($B96,'น้ำยา-เครื่อง'!$A:$AF,Z95+1,FALSE))),"")</f>
        <v>2</v>
      </c>
      <c r="AA96" s="13">
        <f>_xlfn.IFNA(IF(OR(AA95="",AA95=0),"",(VLOOKUP($B96,'น้ำยา-เครื่อง'!$A:$AF,AA95+1,FALSE))),"")</f>
        <v>0</v>
      </c>
      <c r="AB96" s="13">
        <f>_xlfn.IFNA(IF(OR(AB95="",AB95=0),"",(VLOOKUP($B96,'น้ำยา-เครื่อง'!$A:$AF,AB95+1,FALSE))),"")</f>
        <v>0</v>
      </c>
      <c r="AC96" s="13">
        <f>_xlfn.IFNA(IF(OR(AC95="",AC95=0),"",(VLOOKUP($B96,'น้ำยา-เครื่อง'!$A:$AF,AC95+1,FALSE))),"")</f>
        <v>1</v>
      </c>
      <c r="AD96" s="13">
        <f>_xlfn.IFNA(IF(OR(AD95="",AD95=0),"",(VLOOKUP($B96,'น้ำยา-เครื่อง'!$A:$AF,AD95+1,FALSE))),"")</f>
        <v>1</v>
      </c>
      <c r="AE96" s="13">
        <f>_xlfn.IFNA(IF(OR(AE95="",AE95=0),"",(VLOOKUP($B96,'น้ำยา-เครื่อง'!$A:$AF,AE95+1,FALSE))),"")</f>
        <v>1</v>
      </c>
      <c r="AF96" s="13">
        <f>_xlfn.IFNA(IF(OR(AF95="",AF95=0),"",(VLOOKUP($B96,'น้ำยา-เครื่อง'!$A:$AF,AF95+1,FALSE))),"")</f>
        <v>1</v>
      </c>
      <c r="AG96" s="13">
        <f>_xlfn.IFNA(IF(OR(AG95="",AG95=0),"",(VLOOKUP($B96,'น้ำยา-เครื่อง'!$A:$AF,AG95+1,FALSE))),"")</f>
        <v>1</v>
      </c>
    </row>
    <row r="97" spans="1:33" s="2" customFormat="1" ht="18" x14ac:dyDescent="0.2">
      <c r="A97" s="21" t="s">
        <v>39</v>
      </c>
      <c r="B97" s="18" t="s">
        <v>5</v>
      </c>
      <c r="C97" s="19" t="str">
        <f>IF(C66="","",C66)</f>
        <v>O</v>
      </c>
      <c r="D97" s="19" t="str">
        <f t="shared" ref="D97:AG97" si="9">IF(D66="","",D66)</f>
        <v>O</v>
      </c>
      <c r="E97" s="19" t="str">
        <f t="shared" si="9"/>
        <v>O</v>
      </c>
      <c r="F97" s="19" t="str">
        <f t="shared" si="9"/>
        <v/>
      </c>
      <c r="G97" s="19" t="str">
        <f t="shared" si="9"/>
        <v/>
      </c>
      <c r="H97" s="19" t="str">
        <f t="shared" si="9"/>
        <v>O</v>
      </c>
      <c r="I97" s="19" t="str">
        <f t="shared" si="9"/>
        <v>O</v>
      </c>
      <c r="J97" s="19" t="str">
        <f t="shared" si="9"/>
        <v>O</v>
      </c>
      <c r="K97" s="19" t="str">
        <f t="shared" si="9"/>
        <v>O</v>
      </c>
      <c r="L97" s="19" t="str">
        <f t="shared" si="9"/>
        <v>O</v>
      </c>
      <c r="M97" s="19" t="str">
        <f t="shared" si="9"/>
        <v/>
      </c>
      <c r="N97" s="19" t="str">
        <f t="shared" si="9"/>
        <v/>
      </c>
      <c r="O97" s="19" t="str">
        <f t="shared" si="9"/>
        <v>O</v>
      </c>
      <c r="P97" s="19" t="str">
        <f t="shared" si="9"/>
        <v>O</v>
      </c>
      <c r="Q97" s="19" t="str">
        <f t="shared" si="9"/>
        <v>O</v>
      </c>
      <c r="R97" s="19" t="str">
        <f t="shared" si="9"/>
        <v>O</v>
      </c>
      <c r="S97" s="19" t="str">
        <f t="shared" si="9"/>
        <v>O</v>
      </c>
      <c r="T97" s="19" t="str">
        <f t="shared" si="9"/>
        <v/>
      </c>
      <c r="U97" s="19" t="str">
        <f t="shared" si="9"/>
        <v/>
      </c>
      <c r="V97" s="19" t="str">
        <f t="shared" si="9"/>
        <v>O</v>
      </c>
      <c r="W97" s="19" t="str">
        <f t="shared" si="9"/>
        <v>O</v>
      </c>
      <c r="X97" s="19" t="str">
        <f t="shared" si="9"/>
        <v>O</v>
      </c>
      <c r="Y97" s="19" t="str">
        <f t="shared" si="9"/>
        <v>O</v>
      </c>
      <c r="Z97" s="19" t="str">
        <f t="shared" si="9"/>
        <v>O</v>
      </c>
      <c r="AA97" s="19" t="str">
        <f t="shared" si="9"/>
        <v/>
      </c>
      <c r="AB97" s="19" t="str">
        <f t="shared" si="9"/>
        <v/>
      </c>
      <c r="AC97" s="19" t="str">
        <f t="shared" si="9"/>
        <v>O</v>
      </c>
      <c r="AD97" s="19" t="str">
        <f t="shared" si="9"/>
        <v>O</v>
      </c>
      <c r="AE97" s="19" t="str">
        <f t="shared" si="9"/>
        <v>O</v>
      </c>
      <c r="AF97" s="19" t="str">
        <f t="shared" si="9"/>
        <v>O</v>
      </c>
      <c r="AG97" s="19" t="str">
        <f t="shared" si="9"/>
        <v>O</v>
      </c>
    </row>
    <row r="98" spans="1:33" s="2" customFormat="1" ht="18" x14ac:dyDescent="0.2">
      <c r="A98" s="21"/>
      <c r="B98" s="18" t="s">
        <v>6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spans="1:33" s="2" customFormat="1" ht="18" x14ac:dyDescent="0.2">
      <c r="A99" s="21"/>
      <c r="B99" s="18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spans="1:33" s="2" customFormat="1" ht="18.75" customHeight="1" x14ac:dyDescent="0.2">
      <c r="A100" s="21"/>
      <c r="B100" s="18" t="s">
        <v>5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spans="1:33" s="2" customFormat="1" ht="18" x14ac:dyDescent="0.2">
      <c r="A101" s="21"/>
      <c r="B101" s="18" t="s">
        <v>6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spans="1:33" s="2" customFormat="1" ht="18" x14ac:dyDescent="0.2">
      <c r="A102" s="21"/>
      <c r="B102" s="18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spans="1:33" s="2" customFormat="1" ht="18.75" customHeight="1" x14ac:dyDescent="0.2">
      <c r="A103" s="21"/>
      <c r="B103" s="18" t="s">
        <v>5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spans="1:33" s="2" customFormat="1" ht="18" x14ac:dyDescent="0.2">
      <c r="A104" s="21"/>
      <c r="B104" s="18" t="s">
        <v>6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spans="1:33" s="2" customFormat="1" ht="18" x14ac:dyDescent="0.2">
      <c r="A105" s="21"/>
      <c r="B105" s="18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spans="1:33" s="2" customFormat="1" ht="18.75" customHeight="1" x14ac:dyDescent="0.2">
      <c r="A106" s="11" t="s">
        <v>0</v>
      </c>
      <c r="B106" s="12" t="s">
        <v>2</v>
      </c>
      <c r="C106" s="30" t="str">
        <f>C75</f>
        <v>เดือน สิงหาคม</v>
      </c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2"/>
    </row>
    <row r="107" spans="1:33" s="3" customFormat="1" ht="18" customHeight="1" x14ac:dyDescent="0.2">
      <c r="A107" s="14" t="s">
        <v>1</v>
      </c>
      <c r="B107" s="15" t="s">
        <v>3</v>
      </c>
      <c r="C107" s="13">
        <f>C16</f>
        <v>1</v>
      </c>
      <c r="D107" s="13">
        <f t="shared" ref="D107:AG107" si="10">D16</f>
        <v>2</v>
      </c>
      <c r="E107" s="13">
        <f t="shared" si="10"/>
        <v>3</v>
      </c>
      <c r="F107" s="13">
        <f t="shared" si="10"/>
        <v>4</v>
      </c>
      <c r="G107" s="13">
        <f t="shared" si="10"/>
        <v>5</v>
      </c>
      <c r="H107" s="13">
        <f t="shared" si="10"/>
        <v>6</v>
      </c>
      <c r="I107" s="13">
        <f t="shared" si="10"/>
        <v>7</v>
      </c>
      <c r="J107" s="13">
        <f t="shared" si="10"/>
        <v>8</v>
      </c>
      <c r="K107" s="13">
        <f t="shared" si="10"/>
        <v>9</v>
      </c>
      <c r="L107" s="13">
        <f t="shared" si="10"/>
        <v>10</v>
      </c>
      <c r="M107" s="13">
        <f t="shared" si="10"/>
        <v>11</v>
      </c>
      <c r="N107" s="13">
        <f t="shared" si="10"/>
        <v>12</v>
      </c>
      <c r="O107" s="13">
        <f t="shared" si="10"/>
        <v>13</v>
      </c>
      <c r="P107" s="13">
        <f t="shared" si="10"/>
        <v>14</v>
      </c>
      <c r="Q107" s="13">
        <f t="shared" si="10"/>
        <v>15</v>
      </c>
      <c r="R107" s="13">
        <f t="shared" si="10"/>
        <v>16</v>
      </c>
      <c r="S107" s="13">
        <f t="shared" si="10"/>
        <v>17</v>
      </c>
      <c r="T107" s="13">
        <f t="shared" si="10"/>
        <v>18</v>
      </c>
      <c r="U107" s="13">
        <f t="shared" si="10"/>
        <v>19</v>
      </c>
      <c r="V107" s="13">
        <f t="shared" si="10"/>
        <v>20</v>
      </c>
      <c r="W107" s="13">
        <f t="shared" si="10"/>
        <v>21</v>
      </c>
      <c r="X107" s="13">
        <f t="shared" si="10"/>
        <v>22</v>
      </c>
      <c r="Y107" s="13">
        <f t="shared" si="10"/>
        <v>23</v>
      </c>
      <c r="Z107" s="13">
        <f t="shared" si="10"/>
        <v>24</v>
      </c>
      <c r="AA107" s="13">
        <f t="shared" si="10"/>
        <v>25</v>
      </c>
      <c r="AB107" s="13">
        <f t="shared" si="10"/>
        <v>26</v>
      </c>
      <c r="AC107" s="13">
        <f t="shared" si="10"/>
        <v>27</v>
      </c>
      <c r="AD107" s="13">
        <f t="shared" si="10"/>
        <v>28</v>
      </c>
      <c r="AE107" s="13">
        <f t="shared" si="10"/>
        <v>29</v>
      </c>
      <c r="AF107" s="13">
        <f t="shared" si="10"/>
        <v>30</v>
      </c>
      <c r="AG107" s="13">
        <f t="shared" si="10"/>
        <v>31</v>
      </c>
    </row>
    <row r="108" spans="1:33" s="2" customFormat="1" ht="18" x14ac:dyDescent="0.2">
      <c r="A108" s="16"/>
      <c r="B108" s="17" t="s">
        <v>4</v>
      </c>
      <c r="C108" s="13">
        <f>_xlfn.IFNA(IF(OR(C107="",C107=0),"",(VLOOKUP($B108,'น้ำยา-เครื่อง'!$AH:$BM,C107+1,FALSE))),"")</f>
        <v>0</v>
      </c>
      <c r="D108" s="13">
        <f>_xlfn.IFNA(IF(OR(D107="",D107=0),"",(VLOOKUP($B108,'น้ำยา-เครื่อง'!$AH:$BM,D107+1,FALSE))),"")</f>
        <v>0</v>
      </c>
      <c r="E108" s="13">
        <f>_xlfn.IFNA(IF(OR(E107="",E107=0),"",(VLOOKUP($B108,'น้ำยา-เครื่อง'!$AH:$BM,E107+1,FALSE))),"")</f>
        <v>2</v>
      </c>
      <c r="F108" s="13">
        <f>_xlfn.IFNA(IF(OR(F107="",F107=0),"",(VLOOKUP($B108,'น้ำยา-เครื่อง'!$AH:$BM,F107+1,FALSE))),"")</f>
        <v>2</v>
      </c>
      <c r="G108" s="13">
        <f>_xlfn.IFNA(IF(OR(G107="",G107=0),"",(VLOOKUP($B108,'น้ำยา-เครื่อง'!$AH:$BM,G107+1,FALSE))),"")</f>
        <v>2</v>
      </c>
      <c r="H108" s="13">
        <f>_xlfn.IFNA(IF(OR(H107="",H107=0),"",(VLOOKUP($B108,'น้ำยา-เครื่อง'!$AH:$BM,H107+1,FALSE))),"")</f>
        <v>2</v>
      </c>
      <c r="I108" s="13">
        <f>_xlfn.IFNA(IF(OR(I107="",I107=0),"",(VLOOKUP($B108,'น้ำยา-เครื่อง'!$AH:$BM,I107+1,FALSE))),"")</f>
        <v>2</v>
      </c>
      <c r="J108" s="13">
        <f>_xlfn.IFNA(IF(OR(J107="",J107=0),"",(VLOOKUP($B108,'น้ำยา-เครื่อง'!$AH:$BM,J107+1,FALSE))),"")</f>
        <v>0</v>
      </c>
      <c r="K108" s="13">
        <f>_xlfn.IFNA(IF(OR(K107="",K107=0),"",(VLOOKUP($B108,'น้ำยา-เครื่อง'!$AH:$BM,K107+1,FALSE))),"")</f>
        <v>0</v>
      </c>
      <c r="L108" s="13">
        <f>_xlfn.IFNA(IF(OR(L107="",L107=0),"",(VLOOKUP($B108,'น้ำยา-เครื่อง'!$AH:$BM,L107+1,FALSE))),"")</f>
        <v>1</v>
      </c>
      <c r="M108" s="13">
        <f>_xlfn.IFNA(IF(OR(M107="",M107=0),"",(VLOOKUP($B108,'น้ำยา-เครื่อง'!$AH:$BM,M107+1,FALSE))),"")</f>
        <v>1</v>
      </c>
      <c r="N108" s="13">
        <f>_xlfn.IFNA(IF(OR(N107="",N107=0),"",(VLOOKUP($B108,'น้ำยา-เครื่อง'!$AH:$BM,N107+1,FALSE))),"")</f>
        <v>1</v>
      </c>
      <c r="O108" s="13">
        <f>_xlfn.IFNA(IF(OR(O107="",O107=0),"",(VLOOKUP($B108,'น้ำยา-เครื่อง'!$AH:$BM,O107+1,FALSE))),"")</f>
        <v>1</v>
      </c>
      <c r="P108" s="13">
        <f>_xlfn.IFNA(IF(OR(P107="",P107=0),"",(VLOOKUP($B108,'น้ำยา-เครื่อง'!$AH:$BM,P107+1,FALSE))),"")</f>
        <v>1</v>
      </c>
      <c r="Q108" s="13">
        <f>_xlfn.IFNA(IF(OR(Q107="",Q107=0),"",(VLOOKUP($B108,'น้ำยา-เครื่อง'!$AH:$BM,Q107+1,FALSE))),"")</f>
        <v>0</v>
      </c>
      <c r="R108" s="13">
        <f>_xlfn.IFNA(IF(OR(R107="",R107=0),"",(VLOOKUP($B108,'น้ำยา-เครื่อง'!$AH:$BM,R107+1,FALSE))),"")</f>
        <v>0</v>
      </c>
      <c r="S108" s="13">
        <f>_xlfn.IFNA(IF(OR(S107="",S107=0),"",(VLOOKUP($B108,'น้ำยา-เครื่อง'!$AH:$BM,S107+1,FALSE))),"")</f>
        <v>2</v>
      </c>
      <c r="T108" s="13">
        <f>_xlfn.IFNA(IF(OR(T107="",T107=0),"",(VLOOKUP($B108,'น้ำยา-เครื่อง'!$AH:$BM,T107+1,FALSE))),"")</f>
        <v>2</v>
      </c>
      <c r="U108" s="13">
        <f>_xlfn.IFNA(IF(OR(U107="",U107=0),"",(VLOOKUP($B108,'น้ำยา-เครื่อง'!$AH:$BM,U107+1,FALSE))),"")</f>
        <v>2</v>
      </c>
      <c r="V108" s="13">
        <f>_xlfn.IFNA(IF(OR(V107="",V107=0),"",(VLOOKUP($B108,'น้ำยา-เครื่อง'!$AH:$BM,V107+1,FALSE))),"")</f>
        <v>2</v>
      </c>
      <c r="W108" s="13">
        <f>_xlfn.IFNA(IF(OR(W107="",W107=0),"",(VLOOKUP($B108,'น้ำยา-เครื่อง'!$AH:$BM,W107+1,FALSE))),"")</f>
        <v>2</v>
      </c>
      <c r="X108" s="13">
        <f>_xlfn.IFNA(IF(OR(X107="",X107=0),"",(VLOOKUP($B108,'น้ำยา-เครื่อง'!$AH:$BM,X107+1,FALSE))),"")</f>
        <v>0</v>
      </c>
      <c r="Y108" s="13">
        <f>_xlfn.IFNA(IF(OR(Y107="",Y107=0),"",(VLOOKUP($B108,'น้ำยา-เครื่อง'!$AH:$BM,Y107+1,FALSE))),"")</f>
        <v>0</v>
      </c>
      <c r="Z108" s="13">
        <f>_xlfn.IFNA(IF(OR(Z107="",Z107=0),"",(VLOOKUP($B108,'น้ำยา-เครื่อง'!$AH:$BM,Z107+1,FALSE))),"")</f>
        <v>1</v>
      </c>
      <c r="AA108" s="13">
        <f>_xlfn.IFNA(IF(OR(AA107="",AA107=0),"",(VLOOKUP($B108,'น้ำยา-เครื่อง'!$AH:$BM,AA107+1,FALSE))),"")</f>
        <v>1</v>
      </c>
      <c r="AB108" s="13">
        <f>_xlfn.IFNA(IF(OR(AB107="",AB107=0),"",(VLOOKUP($B108,'น้ำยา-เครื่อง'!$AH:$BM,AB107+1,FALSE))),"")</f>
        <v>1</v>
      </c>
      <c r="AC108" s="13">
        <f>_xlfn.IFNA(IF(OR(AC107="",AC107=0),"",(VLOOKUP($B108,'น้ำยา-เครื่อง'!$AH:$BM,AC107+1,FALSE))),"")</f>
        <v>1</v>
      </c>
      <c r="AD108" s="13">
        <f>_xlfn.IFNA(IF(OR(AD107="",AD107=0),"",(VLOOKUP($B108,'น้ำยา-เครื่อง'!$AH:$BM,AD107+1,FALSE))),"")</f>
        <v>1</v>
      </c>
      <c r="AE108" s="13">
        <f>_xlfn.IFNA(IF(OR(AE107="",AE107=0),"",(VLOOKUP($B108,'น้ำยา-เครื่อง'!$AH:$BM,AE107+1,FALSE))),"")</f>
        <v>0</v>
      </c>
      <c r="AF108" s="13">
        <f>_xlfn.IFNA(IF(OR(AF107="",AF107=0),"",(VLOOKUP($B108,'น้ำยา-เครื่อง'!$AH:$BM,AF107+1,FALSE))),"")</f>
        <v>0</v>
      </c>
      <c r="AG108" s="13">
        <f>_xlfn.IFNA(IF(OR(AG107="",AG107=0),"",(VLOOKUP($B108,'น้ำยา-เครื่อง'!$AH:$BM,AG107+1,FALSE))),"")</f>
        <v>2</v>
      </c>
    </row>
    <row r="109" spans="1:33" s="2" customFormat="1" ht="18" x14ac:dyDescent="0.2">
      <c r="A109" s="21" t="str">
        <f>IF(A97="","",A97)</f>
        <v>Stick roller, เช็คถูทำความสะอาดพื้นห้อง (วันที่ใช้งาน)</v>
      </c>
      <c r="B109" s="18" t="s">
        <v>5</v>
      </c>
      <c r="C109" s="19" t="str">
        <f>IF(C78="","",C78)</f>
        <v/>
      </c>
      <c r="D109" s="19" t="str">
        <f t="shared" ref="D109:AG109" si="11">IF(D78="","",D78)</f>
        <v/>
      </c>
      <c r="E109" s="19" t="str">
        <f t="shared" si="11"/>
        <v>O</v>
      </c>
      <c r="F109" s="19" t="str">
        <f t="shared" si="11"/>
        <v>O</v>
      </c>
      <c r="G109" s="19" t="str">
        <f t="shared" si="11"/>
        <v>O</v>
      </c>
      <c r="H109" s="19" t="str">
        <f t="shared" si="11"/>
        <v>O</v>
      </c>
      <c r="I109" s="19" t="str">
        <f t="shared" si="11"/>
        <v>O</v>
      </c>
      <c r="J109" s="19" t="str">
        <f t="shared" si="11"/>
        <v/>
      </c>
      <c r="K109" s="19" t="str">
        <f t="shared" si="11"/>
        <v/>
      </c>
      <c r="L109" s="19" t="str">
        <f t="shared" si="11"/>
        <v>O</v>
      </c>
      <c r="M109" s="19" t="str">
        <f t="shared" si="11"/>
        <v>O</v>
      </c>
      <c r="N109" s="19" t="str">
        <f t="shared" si="11"/>
        <v>O</v>
      </c>
      <c r="O109" s="19" t="str">
        <f t="shared" si="11"/>
        <v>O</v>
      </c>
      <c r="P109" s="19" t="str">
        <f t="shared" si="11"/>
        <v>O</v>
      </c>
      <c r="Q109" s="19" t="str">
        <f t="shared" si="11"/>
        <v/>
      </c>
      <c r="R109" s="19" t="str">
        <f t="shared" si="11"/>
        <v/>
      </c>
      <c r="S109" s="19" t="str">
        <f t="shared" si="11"/>
        <v>O</v>
      </c>
      <c r="T109" s="19" t="str">
        <f t="shared" si="11"/>
        <v>O</v>
      </c>
      <c r="U109" s="19" t="str">
        <f t="shared" si="11"/>
        <v>O</v>
      </c>
      <c r="V109" s="19" t="str">
        <f t="shared" si="11"/>
        <v>O</v>
      </c>
      <c r="W109" s="19" t="str">
        <f t="shared" si="11"/>
        <v>O</v>
      </c>
      <c r="X109" s="19" t="str">
        <f t="shared" si="11"/>
        <v/>
      </c>
      <c r="Y109" s="19" t="str">
        <f t="shared" si="11"/>
        <v/>
      </c>
      <c r="Z109" s="19" t="str">
        <f t="shared" si="11"/>
        <v>O</v>
      </c>
      <c r="AA109" s="19" t="str">
        <f t="shared" si="11"/>
        <v>O</v>
      </c>
      <c r="AB109" s="19" t="str">
        <f t="shared" si="11"/>
        <v>O</v>
      </c>
      <c r="AC109" s="19" t="str">
        <f t="shared" si="11"/>
        <v>O</v>
      </c>
      <c r="AD109" s="19" t="str">
        <f t="shared" si="11"/>
        <v>O</v>
      </c>
      <c r="AE109" s="19" t="str">
        <f t="shared" si="11"/>
        <v/>
      </c>
      <c r="AF109" s="19" t="str">
        <f t="shared" si="11"/>
        <v/>
      </c>
      <c r="AG109" s="19" t="str">
        <f t="shared" si="11"/>
        <v>O</v>
      </c>
    </row>
    <row r="110" spans="1:33" s="2" customFormat="1" ht="18" x14ac:dyDescent="0.2">
      <c r="A110" s="21"/>
      <c r="B110" s="18" t="s">
        <v>6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spans="1:33" s="2" customFormat="1" ht="18" x14ac:dyDescent="0.2">
      <c r="A111" s="21"/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spans="1:33" s="2" customFormat="1" ht="18.75" customHeight="1" x14ac:dyDescent="0.2">
      <c r="A112" s="21" t="str">
        <f>IF(A100="","",A100)</f>
        <v/>
      </c>
      <c r="B112" s="18" t="s">
        <v>5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spans="1:33" s="2" customFormat="1" ht="18" x14ac:dyDescent="0.2">
      <c r="A113" s="21"/>
      <c r="B113" s="18" t="s">
        <v>6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spans="1:33" s="2" customFormat="1" ht="18" x14ac:dyDescent="0.2">
      <c r="A114" s="21"/>
      <c r="B114" s="18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spans="1:33" s="2" customFormat="1" ht="18.75" customHeight="1" x14ac:dyDescent="0.2">
      <c r="A115" s="21" t="str">
        <f>IF(A103="","",A103)</f>
        <v/>
      </c>
      <c r="B115" s="18" t="s">
        <v>5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spans="1:33" s="2" customFormat="1" ht="18" x14ac:dyDescent="0.2">
      <c r="A116" s="21"/>
      <c r="B116" s="18" t="s">
        <v>6</v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spans="1:33" s="2" customFormat="1" ht="18" x14ac:dyDescent="0.2">
      <c r="A117" s="21"/>
      <c r="B117" s="18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spans="1:33" s="4" customFormat="1" ht="18" x14ac:dyDescent="0.4">
      <c r="A118" s="4" t="s">
        <v>13</v>
      </c>
      <c r="W118" s="22" t="s">
        <v>22</v>
      </c>
      <c r="X118" s="22"/>
      <c r="Y118" s="22"/>
      <c r="Z118" s="22"/>
      <c r="AA118" s="22"/>
      <c r="AB118" s="22"/>
      <c r="AC118" s="22"/>
      <c r="AD118" s="9"/>
      <c r="AE118" s="9"/>
      <c r="AF118" s="9"/>
      <c r="AG118" s="9"/>
    </row>
    <row r="119" spans="1:33" s="4" customFormat="1" ht="18" x14ac:dyDescent="0.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spans="1:33" s="4" customFormat="1" ht="18" x14ac:dyDescent="0.4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3" t="s">
        <v>12</v>
      </c>
      <c r="Q120" s="23"/>
      <c r="R120" s="20" t="str">
        <f>R89</f>
        <v>พีรวัส</v>
      </c>
      <c r="S120" s="20"/>
      <c r="T120" s="20"/>
      <c r="U120" s="23" t="s">
        <v>15</v>
      </c>
      <c r="V120" s="23"/>
      <c r="W120" s="20" t="str">
        <f>W89</f>
        <v>วรพงศ์</v>
      </c>
      <c r="X120" s="20"/>
      <c r="Y120" s="20"/>
      <c r="Z120" s="7" t="s">
        <v>14</v>
      </c>
      <c r="AA120" s="24">
        <f>AA89</f>
        <v>244531</v>
      </c>
      <c r="AB120" s="20"/>
      <c r="AC120" s="20"/>
      <c r="AD120" s="8"/>
      <c r="AE120" s="20"/>
      <c r="AF120" s="20"/>
      <c r="AG120" s="20"/>
    </row>
    <row r="123" spans="1:33" ht="23.25" x14ac:dyDescent="0.5">
      <c r="A123" s="27" t="s">
        <v>49</v>
      </c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</row>
    <row r="124" spans="1:33" s="1" customFormat="1" ht="21" x14ac:dyDescent="0.45">
      <c r="A124" s="5" t="s">
        <v>9</v>
      </c>
      <c r="B124" s="28" t="s">
        <v>7</v>
      </c>
      <c r="C124" s="28"/>
      <c r="D124" s="28"/>
      <c r="E124" s="28"/>
      <c r="F124" s="28"/>
      <c r="G124" s="28"/>
      <c r="H124" s="5" t="s">
        <v>10</v>
      </c>
      <c r="I124" s="28"/>
      <c r="J124" s="28"/>
      <c r="K124" s="28"/>
      <c r="L124" s="28"/>
      <c r="M124" s="29" t="s">
        <v>11</v>
      </c>
      <c r="N124" s="29"/>
      <c r="O124" s="28" t="s">
        <v>44</v>
      </c>
      <c r="P124" s="28"/>
      <c r="Q124" s="28"/>
      <c r="R124" s="28"/>
      <c r="S124" s="28"/>
      <c r="T124" s="5" t="s">
        <v>8</v>
      </c>
      <c r="U124" s="28">
        <f>$U$2</f>
        <v>2569</v>
      </c>
      <c r="V124" s="28"/>
      <c r="W124" s="29" t="s">
        <v>16</v>
      </c>
      <c r="X124" s="29"/>
      <c r="Y124" s="29"/>
      <c r="Z124" s="1" t="s">
        <v>34</v>
      </c>
    </row>
    <row r="125" spans="1:33" s="2" customFormat="1" ht="18.75" customHeight="1" x14ac:dyDescent="0.2">
      <c r="A125" s="11" t="s">
        <v>0</v>
      </c>
      <c r="B125" s="12" t="s">
        <v>2</v>
      </c>
      <c r="C125" s="25" t="str">
        <f>C94</f>
        <v>เดือน กรกฎาคม</v>
      </c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</row>
    <row r="126" spans="1:33" s="3" customFormat="1" ht="18" x14ac:dyDescent="0.2">
      <c r="A126" s="14" t="s">
        <v>1</v>
      </c>
      <c r="B126" s="15" t="s">
        <v>3</v>
      </c>
      <c r="C126" s="13">
        <f>C4</f>
        <v>1</v>
      </c>
      <c r="D126" s="13">
        <f t="shared" ref="D126:AG126" si="12">D4</f>
        <v>2</v>
      </c>
      <c r="E126" s="13">
        <f t="shared" si="12"/>
        <v>3</v>
      </c>
      <c r="F126" s="13">
        <f t="shared" si="12"/>
        <v>4</v>
      </c>
      <c r="G126" s="13">
        <f t="shared" si="12"/>
        <v>5</v>
      </c>
      <c r="H126" s="13">
        <f t="shared" si="12"/>
        <v>6</v>
      </c>
      <c r="I126" s="13">
        <f t="shared" si="12"/>
        <v>7</v>
      </c>
      <c r="J126" s="13">
        <f t="shared" si="12"/>
        <v>8</v>
      </c>
      <c r="K126" s="13">
        <f t="shared" si="12"/>
        <v>9</v>
      </c>
      <c r="L126" s="13">
        <f t="shared" si="12"/>
        <v>10</v>
      </c>
      <c r="M126" s="13">
        <f t="shared" si="12"/>
        <v>11</v>
      </c>
      <c r="N126" s="13">
        <f t="shared" si="12"/>
        <v>12</v>
      </c>
      <c r="O126" s="13">
        <f t="shared" si="12"/>
        <v>13</v>
      </c>
      <c r="P126" s="13">
        <f t="shared" si="12"/>
        <v>14</v>
      </c>
      <c r="Q126" s="13">
        <f t="shared" si="12"/>
        <v>15</v>
      </c>
      <c r="R126" s="13">
        <f t="shared" si="12"/>
        <v>16</v>
      </c>
      <c r="S126" s="13">
        <f t="shared" si="12"/>
        <v>17</v>
      </c>
      <c r="T126" s="13">
        <f t="shared" si="12"/>
        <v>18</v>
      </c>
      <c r="U126" s="13">
        <f t="shared" si="12"/>
        <v>19</v>
      </c>
      <c r="V126" s="13">
        <f t="shared" si="12"/>
        <v>20</v>
      </c>
      <c r="W126" s="13">
        <f t="shared" si="12"/>
        <v>21</v>
      </c>
      <c r="X126" s="13">
        <f t="shared" si="12"/>
        <v>22</v>
      </c>
      <c r="Y126" s="13">
        <f t="shared" si="12"/>
        <v>23</v>
      </c>
      <c r="Z126" s="13">
        <f t="shared" si="12"/>
        <v>24</v>
      </c>
      <c r="AA126" s="13">
        <f t="shared" si="12"/>
        <v>25</v>
      </c>
      <c r="AB126" s="13">
        <f t="shared" si="12"/>
        <v>26</v>
      </c>
      <c r="AC126" s="13">
        <f t="shared" si="12"/>
        <v>27</v>
      </c>
      <c r="AD126" s="13">
        <f t="shared" si="12"/>
        <v>28</v>
      </c>
      <c r="AE126" s="13">
        <f t="shared" si="12"/>
        <v>29</v>
      </c>
      <c r="AF126" s="13">
        <f t="shared" si="12"/>
        <v>30</v>
      </c>
      <c r="AG126" s="13">
        <f t="shared" si="12"/>
        <v>31</v>
      </c>
    </row>
    <row r="127" spans="1:33" s="2" customFormat="1" ht="18" x14ac:dyDescent="0.2">
      <c r="A127" s="16"/>
      <c r="B127" s="17" t="s">
        <v>4</v>
      </c>
      <c r="C127" s="13">
        <f>_xlfn.IFNA(IF(OR(C126="",C126=0),"",(VLOOKUP($B127,'น้ำยา-เครื่อง'!$A:$AF,C126+1,FALSE))),"")</f>
        <v>1</v>
      </c>
      <c r="D127" s="13">
        <f>_xlfn.IFNA(IF(OR(D126="",D126=0),"",(VLOOKUP($B127,'น้ำยา-เครื่อง'!$A:$AF,D126+1,FALSE))),"")</f>
        <v>1</v>
      </c>
      <c r="E127" s="13">
        <f>_xlfn.IFNA(IF(OR(E126="",E126=0),"",(VLOOKUP($B127,'น้ำยา-เครื่อง'!$A:$AF,E126+1,FALSE))),"")</f>
        <v>1</v>
      </c>
      <c r="F127" s="13">
        <f>_xlfn.IFNA(IF(OR(F126="",F126=0),"",(VLOOKUP($B127,'น้ำยา-เครื่อง'!$A:$AF,F126+1,FALSE))),"")</f>
        <v>0</v>
      </c>
      <c r="G127" s="13">
        <f>_xlfn.IFNA(IF(OR(G126="",G126=0),"",(VLOOKUP($B127,'น้ำยา-เครื่อง'!$A:$AF,G126+1,FALSE))),"")</f>
        <v>0</v>
      </c>
      <c r="H127" s="13">
        <f>_xlfn.IFNA(IF(OR(H126="",H126=0),"",(VLOOKUP($B127,'น้ำยา-เครื่อง'!$A:$AF,H126+1,FALSE))),"")</f>
        <v>2</v>
      </c>
      <c r="I127" s="13">
        <f>_xlfn.IFNA(IF(OR(I126="",I126=0),"",(VLOOKUP($B127,'น้ำยา-เครื่อง'!$A:$AF,I126+1,FALSE))),"")</f>
        <v>2</v>
      </c>
      <c r="J127" s="13">
        <f>_xlfn.IFNA(IF(OR(J126="",J126=0),"",(VLOOKUP($B127,'น้ำยา-เครื่อง'!$A:$AF,J126+1,FALSE))),"")</f>
        <v>2</v>
      </c>
      <c r="K127" s="13">
        <f>_xlfn.IFNA(IF(OR(K126="",K126=0),"",(VLOOKUP($B127,'น้ำยา-เครื่อง'!$A:$AF,K126+1,FALSE))),"")</f>
        <v>2</v>
      </c>
      <c r="L127" s="13">
        <f>_xlfn.IFNA(IF(OR(L126="",L126=0),"",(VLOOKUP($B127,'น้ำยา-เครื่อง'!$A:$AF,L126+1,FALSE))),"")</f>
        <v>2</v>
      </c>
      <c r="M127" s="13">
        <f>_xlfn.IFNA(IF(OR(M126="",M126=0),"",(VLOOKUP($B127,'น้ำยา-เครื่อง'!$A:$AF,M126+1,FALSE))),"")</f>
        <v>0</v>
      </c>
      <c r="N127" s="13">
        <f>_xlfn.IFNA(IF(OR(N126="",N126=0),"",(VLOOKUP($B127,'น้ำยา-เครื่อง'!$A:$AF,N126+1,FALSE))),"")</f>
        <v>0</v>
      </c>
      <c r="O127" s="13">
        <f>_xlfn.IFNA(IF(OR(O126="",O126=0),"",(VLOOKUP($B127,'น้ำยา-เครื่อง'!$A:$AF,O126+1,FALSE))),"")</f>
        <v>1</v>
      </c>
      <c r="P127" s="13">
        <f>_xlfn.IFNA(IF(OR(P126="",P126=0),"",(VLOOKUP($B127,'น้ำยา-เครื่อง'!$A:$AF,P126+1,FALSE))),"")</f>
        <v>1</v>
      </c>
      <c r="Q127" s="13">
        <f>_xlfn.IFNA(IF(OR(Q126="",Q126=0),"",(VLOOKUP($B127,'น้ำยา-เครื่อง'!$A:$AF,Q126+1,FALSE))),"")</f>
        <v>1</v>
      </c>
      <c r="R127" s="13">
        <f>_xlfn.IFNA(IF(OR(R126="",R126=0),"",(VLOOKUP($B127,'น้ำยา-เครื่อง'!$A:$AF,R126+1,FALSE))),"")</f>
        <v>1</v>
      </c>
      <c r="S127" s="13">
        <f>_xlfn.IFNA(IF(OR(S126="",S126=0),"",(VLOOKUP($B127,'น้ำยา-เครื่อง'!$A:$AF,S126+1,FALSE))),"")</f>
        <v>1</v>
      </c>
      <c r="T127" s="13">
        <f>_xlfn.IFNA(IF(OR(T126="",T126=0),"",(VLOOKUP($B127,'น้ำยา-เครื่อง'!$A:$AF,T126+1,FALSE))),"")</f>
        <v>0</v>
      </c>
      <c r="U127" s="13">
        <f>_xlfn.IFNA(IF(OR(U126="",U126=0),"",(VLOOKUP($B127,'น้ำยา-เครื่อง'!$A:$AF,U126+1,FALSE))),"")</f>
        <v>0</v>
      </c>
      <c r="V127" s="13">
        <f>_xlfn.IFNA(IF(OR(V126="",V126=0),"",(VLOOKUP($B127,'น้ำยา-เครื่อง'!$A:$AF,V126+1,FALSE))),"")</f>
        <v>2</v>
      </c>
      <c r="W127" s="13">
        <f>_xlfn.IFNA(IF(OR(W126="",W126=0),"",(VLOOKUP($B127,'น้ำยา-เครื่อง'!$A:$AF,W126+1,FALSE))),"")</f>
        <v>2</v>
      </c>
      <c r="X127" s="13">
        <f>_xlfn.IFNA(IF(OR(X126="",X126=0),"",(VLOOKUP($B127,'น้ำยา-เครื่อง'!$A:$AF,X126+1,FALSE))),"")</f>
        <v>2</v>
      </c>
      <c r="Y127" s="13">
        <f>_xlfn.IFNA(IF(OR(Y126="",Y126=0),"",(VLOOKUP($B127,'น้ำยา-เครื่อง'!$A:$AF,Y126+1,FALSE))),"")</f>
        <v>2</v>
      </c>
      <c r="Z127" s="13">
        <f>_xlfn.IFNA(IF(OR(Z126="",Z126=0),"",(VLOOKUP($B127,'น้ำยา-เครื่อง'!$A:$AF,Z126+1,FALSE))),"")</f>
        <v>2</v>
      </c>
      <c r="AA127" s="13">
        <f>_xlfn.IFNA(IF(OR(AA126="",AA126=0),"",(VLOOKUP($B127,'น้ำยา-เครื่อง'!$A:$AF,AA126+1,FALSE))),"")</f>
        <v>0</v>
      </c>
      <c r="AB127" s="13">
        <f>_xlfn.IFNA(IF(OR(AB126="",AB126=0),"",(VLOOKUP($B127,'น้ำยา-เครื่อง'!$A:$AF,AB126+1,FALSE))),"")</f>
        <v>0</v>
      </c>
      <c r="AC127" s="13">
        <f>_xlfn.IFNA(IF(OR(AC126="",AC126=0),"",(VLOOKUP($B127,'น้ำยา-เครื่อง'!$A:$AF,AC126+1,FALSE))),"")</f>
        <v>1</v>
      </c>
      <c r="AD127" s="13">
        <f>_xlfn.IFNA(IF(OR(AD126="",AD126=0),"",(VLOOKUP($B127,'น้ำยา-เครื่อง'!$A:$AF,AD126+1,FALSE))),"")</f>
        <v>1</v>
      </c>
      <c r="AE127" s="13">
        <f>_xlfn.IFNA(IF(OR(AE126="",AE126=0),"",(VLOOKUP($B127,'น้ำยา-เครื่อง'!$A:$AF,AE126+1,FALSE))),"")</f>
        <v>1</v>
      </c>
      <c r="AF127" s="13">
        <f>_xlfn.IFNA(IF(OR(AF126="",AF126=0),"",(VLOOKUP($B127,'น้ำยา-เครื่อง'!$A:$AF,AF126+1,FALSE))),"")</f>
        <v>1</v>
      </c>
      <c r="AG127" s="13">
        <f>_xlfn.IFNA(IF(OR(AG126="",AG126=0),"",(VLOOKUP($B127,'น้ำยา-เครื่อง'!$A:$AF,AG126+1,FALSE))),"")</f>
        <v>1</v>
      </c>
    </row>
    <row r="128" spans="1:33" s="2" customFormat="1" ht="18" x14ac:dyDescent="0.2">
      <c r="A128" s="21" t="s">
        <v>39</v>
      </c>
      <c r="B128" s="18" t="s">
        <v>5</v>
      </c>
      <c r="C128" s="19" t="str">
        <f>IF(C97="","",C97)</f>
        <v>O</v>
      </c>
      <c r="D128" s="19" t="str">
        <f t="shared" ref="D128:AG128" si="13">IF(D97="","",D97)</f>
        <v>O</v>
      </c>
      <c r="E128" s="19" t="str">
        <f t="shared" si="13"/>
        <v>O</v>
      </c>
      <c r="F128" s="19" t="str">
        <f t="shared" si="13"/>
        <v/>
      </c>
      <c r="G128" s="19" t="str">
        <f t="shared" si="13"/>
        <v/>
      </c>
      <c r="H128" s="19" t="str">
        <f t="shared" si="13"/>
        <v>O</v>
      </c>
      <c r="I128" s="19" t="str">
        <f t="shared" si="13"/>
        <v>O</v>
      </c>
      <c r="J128" s="19" t="str">
        <f t="shared" si="13"/>
        <v>O</v>
      </c>
      <c r="K128" s="19" t="str">
        <f t="shared" si="13"/>
        <v>O</v>
      </c>
      <c r="L128" s="19" t="str">
        <f t="shared" si="13"/>
        <v>O</v>
      </c>
      <c r="M128" s="19" t="str">
        <f t="shared" si="13"/>
        <v/>
      </c>
      <c r="N128" s="19" t="str">
        <f t="shared" si="13"/>
        <v/>
      </c>
      <c r="O128" s="19" t="str">
        <f t="shared" si="13"/>
        <v>O</v>
      </c>
      <c r="P128" s="19" t="str">
        <f t="shared" si="13"/>
        <v>O</v>
      </c>
      <c r="Q128" s="19" t="str">
        <f t="shared" si="13"/>
        <v>O</v>
      </c>
      <c r="R128" s="19" t="str">
        <f t="shared" si="13"/>
        <v>O</v>
      </c>
      <c r="S128" s="19" t="str">
        <f t="shared" si="13"/>
        <v>O</v>
      </c>
      <c r="T128" s="19" t="str">
        <f t="shared" si="13"/>
        <v/>
      </c>
      <c r="U128" s="19" t="str">
        <f t="shared" si="13"/>
        <v/>
      </c>
      <c r="V128" s="19" t="str">
        <f t="shared" si="13"/>
        <v>O</v>
      </c>
      <c r="W128" s="19" t="str">
        <f t="shared" si="13"/>
        <v>O</v>
      </c>
      <c r="X128" s="19" t="str">
        <f t="shared" si="13"/>
        <v>O</v>
      </c>
      <c r="Y128" s="19" t="str">
        <f t="shared" si="13"/>
        <v>O</v>
      </c>
      <c r="Z128" s="19" t="str">
        <f t="shared" si="13"/>
        <v>O</v>
      </c>
      <c r="AA128" s="19" t="str">
        <f t="shared" si="13"/>
        <v/>
      </c>
      <c r="AB128" s="19" t="str">
        <f t="shared" si="13"/>
        <v/>
      </c>
      <c r="AC128" s="19" t="str">
        <f t="shared" si="13"/>
        <v>O</v>
      </c>
      <c r="AD128" s="19" t="str">
        <f t="shared" si="13"/>
        <v>O</v>
      </c>
      <c r="AE128" s="19" t="str">
        <f t="shared" si="13"/>
        <v>O</v>
      </c>
      <c r="AF128" s="19" t="str">
        <f t="shared" si="13"/>
        <v>O</v>
      </c>
      <c r="AG128" s="19" t="str">
        <f t="shared" si="13"/>
        <v>O</v>
      </c>
    </row>
    <row r="129" spans="1:33" s="2" customFormat="1" ht="18" x14ac:dyDescent="0.2">
      <c r="A129" s="21"/>
      <c r="B129" s="18" t="s">
        <v>6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spans="1:33" s="2" customFormat="1" ht="18" x14ac:dyDescent="0.2">
      <c r="A130" s="21"/>
      <c r="B130" s="18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spans="1:33" s="2" customFormat="1" ht="18.75" customHeight="1" x14ac:dyDescent="0.2">
      <c r="A131" s="21"/>
      <c r="B131" s="18" t="s">
        <v>5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spans="1:33" s="2" customFormat="1" ht="18" x14ac:dyDescent="0.2">
      <c r="A132" s="21"/>
      <c r="B132" s="18" t="s">
        <v>6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spans="1:33" s="2" customFormat="1" ht="18" x14ac:dyDescent="0.2">
      <c r="A133" s="21"/>
      <c r="B133" s="18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spans="1:33" s="2" customFormat="1" ht="18.75" customHeight="1" x14ac:dyDescent="0.2">
      <c r="A134" s="21"/>
      <c r="B134" s="18" t="s">
        <v>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spans="1:33" s="2" customFormat="1" ht="18" x14ac:dyDescent="0.2">
      <c r="A135" s="21"/>
      <c r="B135" s="18" t="s">
        <v>6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spans="1:33" s="2" customFormat="1" ht="18" x14ac:dyDescent="0.2">
      <c r="A136" s="21"/>
      <c r="B136" s="18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spans="1:33" s="2" customFormat="1" ht="18.75" customHeight="1" x14ac:dyDescent="0.2">
      <c r="A137" s="11" t="s">
        <v>0</v>
      </c>
      <c r="B137" s="12" t="s">
        <v>2</v>
      </c>
      <c r="C137" s="25" t="str">
        <f>C106</f>
        <v>เดือน สิงหาคม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</row>
    <row r="138" spans="1:33" s="3" customFormat="1" ht="18" x14ac:dyDescent="0.2">
      <c r="A138" s="14" t="s">
        <v>1</v>
      </c>
      <c r="B138" s="15" t="s">
        <v>3</v>
      </c>
      <c r="C138" s="13">
        <f>C16</f>
        <v>1</v>
      </c>
      <c r="D138" s="13">
        <f t="shared" ref="D138:AG138" si="14">D16</f>
        <v>2</v>
      </c>
      <c r="E138" s="13">
        <f t="shared" si="14"/>
        <v>3</v>
      </c>
      <c r="F138" s="13">
        <f t="shared" si="14"/>
        <v>4</v>
      </c>
      <c r="G138" s="13">
        <f t="shared" si="14"/>
        <v>5</v>
      </c>
      <c r="H138" s="13">
        <f t="shared" si="14"/>
        <v>6</v>
      </c>
      <c r="I138" s="13">
        <f t="shared" si="14"/>
        <v>7</v>
      </c>
      <c r="J138" s="13">
        <f t="shared" si="14"/>
        <v>8</v>
      </c>
      <c r="K138" s="13">
        <f t="shared" si="14"/>
        <v>9</v>
      </c>
      <c r="L138" s="13">
        <f t="shared" si="14"/>
        <v>10</v>
      </c>
      <c r="M138" s="13">
        <f t="shared" si="14"/>
        <v>11</v>
      </c>
      <c r="N138" s="13">
        <f t="shared" si="14"/>
        <v>12</v>
      </c>
      <c r="O138" s="13">
        <f t="shared" si="14"/>
        <v>13</v>
      </c>
      <c r="P138" s="13">
        <f t="shared" si="14"/>
        <v>14</v>
      </c>
      <c r="Q138" s="13">
        <f t="shared" si="14"/>
        <v>15</v>
      </c>
      <c r="R138" s="13">
        <f t="shared" si="14"/>
        <v>16</v>
      </c>
      <c r="S138" s="13">
        <f t="shared" si="14"/>
        <v>17</v>
      </c>
      <c r="T138" s="13">
        <f t="shared" si="14"/>
        <v>18</v>
      </c>
      <c r="U138" s="13">
        <f t="shared" si="14"/>
        <v>19</v>
      </c>
      <c r="V138" s="13">
        <f t="shared" si="14"/>
        <v>20</v>
      </c>
      <c r="W138" s="13">
        <f t="shared" si="14"/>
        <v>21</v>
      </c>
      <c r="X138" s="13">
        <f t="shared" si="14"/>
        <v>22</v>
      </c>
      <c r="Y138" s="13">
        <f t="shared" si="14"/>
        <v>23</v>
      </c>
      <c r="Z138" s="13">
        <f t="shared" si="14"/>
        <v>24</v>
      </c>
      <c r="AA138" s="13">
        <f t="shared" si="14"/>
        <v>25</v>
      </c>
      <c r="AB138" s="13">
        <f t="shared" si="14"/>
        <v>26</v>
      </c>
      <c r="AC138" s="13">
        <f t="shared" si="14"/>
        <v>27</v>
      </c>
      <c r="AD138" s="13">
        <f t="shared" si="14"/>
        <v>28</v>
      </c>
      <c r="AE138" s="13">
        <f t="shared" si="14"/>
        <v>29</v>
      </c>
      <c r="AF138" s="13">
        <f t="shared" si="14"/>
        <v>30</v>
      </c>
      <c r="AG138" s="13">
        <f t="shared" si="14"/>
        <v>31</v>
      </c>
    </row>
    <row r="139" spans="1:33" s="2" customFormat="1" ht="18" x14ac:dyDescent="0.2">
      <c r="A139" s="16"/>
      <c r="B139" s="17" t="s">
        <v>4</v>
      </c>
      <c r="C139" s="13">
        <f>_xlfn.IFNA(IF(OR(C138="",C138=0),"",(VLOOKUP($B139,'น้ำยา-เครื่อง'!$AH:$BM,C138+1,FALSE))),"")</f>
        <v>0</v>
      </c>
      <c r="D139" s="13">
        <f>_xlfn.IFNA(IF(OR(D138="",D138=0),"",(VLOOKUP($B139,'น้ำยา-เครื่อง'!$AH:$BM,D138+1,FALSE))),"")</f>
        <v>0</v>
      </c>
      <c r="E139" s="13">
        <f>_xlfn.IFNA(IF(OR(E138="",E138=0),"",(VLOOKUP($B139,'น้ำยา-เครื่อง'!$AH:$BM,E138+1,FALSE))),"")</f>
        <v>2</v>
      </c>
      <c r="F139" s="13">
        <f>_xlfn.IFNA(IF(OR(F138="",F138=0),"",(VLOOKUP($B139,'น้ำยา-เครื่อง'!$AH:$BM,F138+1,FALSE))),"")</f>
        <v>2</v>
      </c>
      <c r="G139" s="13">
        <f>_xlfn.IFNA(IF(OR(G138="",G138=0),"",(VLOOKUP($B139,'น้ำยา-เครื่อง'!$AH:$BM,G138+1,FALSE))),"")</f>
        <v>2</v>
      </c>
      <c r="H139" s="13">
        <f>_xlfn.IFNA(IF(OR(H138="",H138=0),"",(VLOOKUP($B139,'น้ำยา-เครื่อง'!$AH:$BM,H138+1,FALSE))),"")</f>
        <v>2</v>
      </c>
      <c r="I139" s="13">
        <f>_xlfn.IFNA(IF(OR(I138="",I138=0),"",(VLOOKUP($B139,'น้ำยา-เครื่อง'!$AH:$BM,I138+1,FALSE))),"")</f>
        <v>2</v>
      </c>
      <c r="J139" s="13">
        <f>_xlfn.IFNA(IF(OR(J138="",J138=0),"",(VLOOKUP($B139,'น้ำยา-เครื่อง'!$AH:$BM,J138+1,FALSE))),"")</f>
        <v>0</v>
      </c>
      <c r="K139" s="13">
        <f>_xlfn.IFNA(IF(OR(K138="",K138=0),"",(VLOOKUP($B139,'น้ำยา-เครื่อง'!$AH:$BM,K138+1,FALSE))),"")</f>
        <v>0</v>
      </c>
      <c r="L139" s="13">
        <f>_xlfn.IFNA(IF(OR(L138="",L138=0),"",(VLOOKUP($B139,'น้ำยา-เครื่อง'!$AH:$BM,L138+1,FALSE))),"")</f>
        <v>1</v>
      </c>
      <c r="M139" s="13">
        <f>_xlfn.IFNA(IF(OR(M138="",M138=0),"",(VLOOKUP($B139,'น้ำยา-เครื่อง'!$AH:$BM,M138+1,FALSE))),"")</f>
        <v>1</v>
      </c>
      <c r="N139" s="13">
        <f>_xlfn.IFNA(IF(OR(N138="",N138=0),"",(VLOOKUP($B139,'น้ำยา-เครื่อง'!$AH:$BM,N138+1,FALSE))),"")</f>
        <v>1</v>
      </c>
      <c r="O139" s="13">
        <f>_xlfn.IFNA(IF(OR(O138="",O138=0),"",(VLOOKUP($B139,'น้ำยา-เครื่อง'!$AH:$BM,O138+1,FALSE))),"")</f>
        <v>1</v>
      </c>
      <c r="P139" s="13">
        <f>_xlfn.IFNA(IF(OR(P138="",P138=0),"",(VLOOKUP($B139,'น้ำยา-เครื่อง'!$AH:$BM,P138+1,FALSE))),"")</f>
        <v>1</v>
      </c>
      <c r="Q139" s="13">
        <f>_xlfn.IFNA(IF(OR(Q138="",Q138=0),"",(VLOOKUP($B139,'น้ำยา-เครื่อง'!$AH:$BM,Q138+1,FALSE))),"")</f>
        <v>0</v>
      </c>
      <c r="R139" s="13">
        <f>_xlfn.IFNA(IF(OR(R138="",R138=0),"",(VLOOKUP($B139,'น้ำยา-เครื่อง'!$AH:$BM,R138+1,FALSE))),"")</f>
        <v>0</v>
      </c>
      <c r="S139" s="13">
        <f>_xlfn.IFNA(IF(OR(S138="",S138=0),"",(VLOOKUP($B139,'น้ำยา-เครื่อง'!$AH:$BM,S138+1,FALSE))),"")</f>
        <v>2</v>
      </c>
      <c r="T139" s="13">
        <f>_xlfn.IFNA(IF(OR(T138="",T138=0),"",(VLOOKUP($B139,'น้ำยา-เครื่อง'!$AH:$BM,T138+1,FALSE))),"")</f>
        <v>2</v>
      </c>
      <c r="U139" s="13">
        <f>_xlfn.IFNA(IF(OR(U138="",U138=0),"",(VLOOKUP($B139,'น้ำยา-เครื่อง'!$AH:$BM,U138+1,FALSE))),"")</f>
        <v>2</v>
      </c>
      <c r="V139" s="13">
        <f>_xlfn.IFNA(IF(OR(V138="",V138=0),"",(VLOOKUP($B139,'น้ำยา-เครื่อง'!$AH:$BM,V138+1,FALSE))),"")</f>
        <v>2</v>
      </c>
      <c r="W139" s="13">
        <f>_xlfn.IFNA(IF(OR(W138="",W138=0),"",(VLOOKUP($B139,'น้ำยา-เครื่อง'!$AH:$BM,W138+1,FALSE))),"")</f>
        <v>2</v>
      </c>
      <c r="X139" s="13">
        <f>_xlfn.IFNA(IF(OR(X138="",X138=0),"",(VLOOKUP($B139,'น้ำยา-เครื่อง'!$AH:$BM,X138+1,FALSE))),"")</f>
        <v>0</v>
      </c>
      <c r="Y139" s="13">
        <f>_xlfn.IFNA(IF(OR(Y138="",Y138=0),"",(VLOOKUP($B139,'น้ำยา-เครื่อง'!$AH:$BM,Y138+1,FALSE))),"")</f>
        <v>0</v>
      </c>
      <c r="Z139" s="13">
        <f>_xlfn.IFNA(IF(OR(Z138="",Z138=0),"",(VLOOKUP($B139,'น้ำยา-เครื่อง'!$AH:$BM,Z138+1,FALSE))),"")</f>
        <v>1</v>
      </c>
      <c r="AA139" s="13">
        <f>_xlfn.IFNA(IF(OR(AA138="",AA138=0),"",(VLOOKUP($B139,'น้ำยา-เครื่อง'!$AH:$BM,AA138+1,FALSE))),"")</f>
        <v>1</v>
      </c>
      <c r="AB139" s="13">
        <f>_xlfn.IFNA(IF(OR(AB138="",AB138=0),"",(VLOOKUP($B139,'น้ำยา-เครื่อง'!$AH:$BM,AB138+1,FALSE))),"")</f>
        <v>1</v>
      </c>
      <c r="AC139" s="13">
        <f>_xlfn.IFNA(IF(OR(AC138="",AC138=0),"",(VLOOKUP($B139,'น้ำยา-เครื่อง'!$AH:$BM,AC138+1,FALSE))),"")</f>
        <v>1</v>
      </c>
      <c r="AD139" s="13">
        <f>_xlfn.IFNA(IF(OR(AD138="",AD138=0),"",(VLOOKUP($B139,'น้ำยา-เครื่อง'!$AH:$BM,AD138+1,FALSE))),"")</f>
        <v>1</v>
      </c>
      <c r="AE139" s="13">
        <f>_xlfn.IFNA(IF(OR(AE138="",AE138=0),"",(VLOOKUP($B139,'น้ำยา-เครื่อง'!$AH:$BM,AE138+1,FALSE))),"")</f>
        <v>0</v>
      </c>
      <c r="AF139" s="13">
        <f>_xlfn.IFNA(IF(OR(AF138="",AF138=0),"",(VLOOKUP($B139,'น้ำยา-เครื่อง'!$AH:$BM,AF138+1,FALSE))),"")</f>
        <v>0</v>
      </c>
      <c r="AG139" s="13">
        <f>_xlfn.IFNA(IF(OR(AG138="",AG138=0),"",(VLOOKUP($B139,'น้ำยา-เครื่อง'!$AH:$BM,AG138+1,FALSE))),"")</f>
        <v>2</v>
      </c>
    </row>
    <row r="140" spans="1:33" s="2" customFormat="1" ht="18" x14ac:dyDescent="0.2">
      <c r="A140" s="21" t="str">
        <f>IF(A128="","",A128)</f>
        <v>Stick roller, เช็คถูทำความสะอาดพื้นห้อง (วันที่ใช้งาน)</v>
      </c>
      <c r="B140" s="18" t="s">
        <v>5</v>
      </c>
      <c r="C140" s="19" t="str">
        <f>IF(C109="","",C109)</f>
        <v/>
      </c>
      <c r="D140" s="19" t="str">
        <f t="shared" ref="D140:AG140" si="15">IF(D109="","",D109)</f>
        <v/>
      </c>
      <c r="E140" s="19" t="str">
        <f t="shared" si="15"/>
        <v>O</v>
      </c>
      <c r="F140" s="19" t="str">
        <f t="shared" si="15"/>
        <v>O</v>
      </c>
      <c r="G140" s="19" t="str">
        <f t="shared" si="15"/>
        <v>O</v>
      </c>
      <c r="H140" s="19" t="str">
        <f t="shared" si="15"/>
        <v>O</v>
      </c>
      <c r="I140" s="19" t="str">
        <f t="shared" si="15"/>
        <v>O</v>
      </c>
      <c r="J140" s="19" t="str">
        <f t="shared" si="15"/>
        <v/>
      </c>
      <c r="K140" s="19" t="str">
        <f t="shared" si="15"/>
        <v/>
      </c>
      <c r="L140" s="19" t="str">
        <f t="shared" si="15"/>
        <v>O</v>
      </c>
      <c r="M140" s="19" t="str">
        <f t="shared" si="15"/>
        <v>O</v>
      </c>
      <c r="N140" s="19" t="str">
        <f t="shared" si="15"/>
        <v>O</v>
      </c>
      <c r="O140" s="19" t="str">
        <f t="shared" si="15"/>
        <v>O</v>
      </c>
      <c r="P140" s="19" t="str">
        <f t="shared" si="15"/>
        <v>O</v>
      </c>
      <c r="Q140" s="19" t="str">
        <f t="shared" si="15"/>
        <v/>
      </c>
      <c r="R140" s="19" t="str">
        <f t="shared" si="15"/>
        <v/>
      </c>
      <c r="S140" s="19" t="str">
        <f t="shared" si="15"/>
        <v>O</v>
      </c>
      <c r="T140" s="19" t="str">
        <f t="shared" si="15"/>
        <v>O</v>
      </c>
      <c r="U140" s="19" t="str">
        <f t="shared" si="15"/>
        <v>O</v>
      </c>
      <c r="V140" s="19" t="str">
        <f t="shared" si="15"/>
        <v>O</v>
      </c>
      <c r="W140" s="19" t="str">
        <f t="shared" si="15"/>
        <v>O</v>
      </c>
      <c r="X140" s="19" t="str">
        <f t="shared" si="15"/>
        <v/>
      </c>
      <c r="Y140" s="19" t="str">
        <f t="shared" si="15"/>
        <v/>
      </c>
      <c r="Z140" s="19" t="str">
        <f t="shared" si="15"/>
        <v>O</v>
      </c>
      <c r="AA140" s="19" t="str">
        <f t="shared" si="15"/>
        <v>O</v>
      </c>
      <c r="AB140" s="19" t="str">
        <f t="shared" si="15"/>
        <v>O</v>
      </c>
      <c r="AC140" s="19" t="str">
        <f t="shared" si="15"/>
        <v>O</v>
      </c>
      <c r="AD140" s="19" t="str">
        <f t="shared" si="15"/>
        <v>O</v>
      </c>
      <c r="AE140" s="19" t="str">
        <f t="shared" si="15"/>
        <v/>
      </c>
      <c r="AF140" s="19" t="str">
        <f t="shared" si="15"/>
        <v/>
      </c>
      <c r="AG140" s="19" t="str">
        <f t="shared" si="15"/>
        <v>O</v>
      </c>
    </row>
    <row r="141" spans="1:33" s="2" customFormat="1" ht="18" x14ac:dyDescent="0.2">
      <c r="A141" s="21"/>
      <c r="B141" s="18" t="s">
        <v>6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spans="1:33" s="2" customFormat="1" ht="18" x14ac:dyDescent="0.2">
      <c r="A142" s="21"/>
      <c r="B142" s="18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spans="1:33" s="2" customFormat="1" ht="18.75" customHeight="1" x14ac:dyDescent="0.2">
      <c r="A143" s="21" t="str">
        <f>IF(A131="","",A131)</f>
        <v/>
      </c>
      <c r="B143" s="18" t="s">
        <v>5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spans="1:33" s="2" customFormat="1" ht="18" x14ac:dyDescent="0.2">
      <c r="A144" s="21"/>
      <c r="B144" s="18" t="s">
        <v>6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spans="1:33" s="2" customFormat="1" ht="18" x14ac:dyDescent="0.2">
      <c r="A145" s="21"/>
      <c r="B145" s="18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spans="1:33" s="2" customFormat="1" ht="18.75" customHeight="1" x14ac:dyDescent="0.2">
      <c r="A146" s="21" t="str">
        <f>IF(A134="","",A134)</f>
        <v/>
      </c>
      <c r="B146" s="18" t="s">
        <v>5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spans="1:33" s="2" customFormat="1" ht="18" x14ac:dyDescent="0.2">
      <c r="A147" s="21"/>
      <c r="B147" s="18" t="s">
        <v>6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spans="1:33" s="2" customFormat="1" ht="18" x14ac:dyDescent="0.2">
      <c r="A148" s="21"/>
      <c r="B148" s="18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spans="1:33" s="4" customFormat="1" ht="18" x14ac:dyDescent="0.4">
      <c r="A149" s="4" t="s">
        <v>13</v>
      </c>
      <c r="W149" s="22" t="s">
        <v>22</v>
      </c>
      <c r="X149" s="22"/>
      <c r="Y149" s="22"/>
      <c r="Z149" s="22"/>
      <c r="AA149" s="22"/>
      <c r="AB149" s="22"/>
      <c r="AC149" s="22"/>
      <c r="AD149" s="9"/>
      <c r="AE149" s="9"/>
      <c r="AF149" s="9"/>
      <c r="AG149" s="9"/>
    </row>
    <row r="150" spans="1:33" s="4" customFormat="1" ht="18" x14ac:dyDescent="0.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spans="1:33" s="4" customFormat="1" ht="18" x14ac:dyDescent="0.4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23" t="s">
        <v>12</v>
      </c>
      <c r="Q151" s="23"/>
      <c r="R151" s="20" t="str">
        <f>R120</f>
        <v>พีรวัส</v>
      </c>
      <c r="S151" s="20"/>
      <c r="T151" s="20"/>
      <c r="U151" s="23" t="s">
        <v>15</v>
      </c>
      <c r="V151" s="23"/>
      <c r="W151" s="20" t="str">
        <f>W120</f>
        <v>วรพงศ์</v>
      </c>
      <c r="X151" s="20"/>
      <c r="Y151" s="20"/>
      <c r="Z151" s="7" t="s">
        <v>14</v>
      </c>
      <c r="AA151" s="24">
        <f>AA120</f>
        <v>244531</v>
      </c>
      <c r="AB151" s="20"/>
      <c r="AC151" s="20"/>
      <c r="AD151" s="8"/>
      <c r="AE151" s="20"/>
      <c r="AF151" s="20"/>
      <c r="AG151" s="20"/>
    </row>
  </sheetData>
  <mergeCells count="110">
    <mergeCell ref="A51:A53"/>
    <mergeCell ref="A54:A56"/>
    <mergeCell ref="W57:AC57"/>
    <mergeCell ref="P59:Q59"/>
    <mergeCell ref="R59:T59"/>
    <mergeCell ref="U59:V59"/>
    <mergeCell ref="W59:Y59"/>
    <mergeCell ref="AA59:AC59"/>
    <mergeCell ref="AE59:AG59"/>
    <mergeCell ref="A21:A23"/>
    <mergeCell ref="A24:A26"/>
    <mergeCell ref="W27:AC27"/>
    <mergeCell ref="P29:Q29"/>
    <mergeCell ref="R29:T29"/>
    <mergeCell ref="U29:V29"/>
    <mergeCell ref="W29:Y29"/>
    <mergeCell ref="AA29:AC29"/>
    <mergeCell ref="A48:A50"/>
    <mergeCell ref="A36:A38"/>
    <mergeCell ref="A39:A41"/>
    <mergeCell ref="A42:A44"/>
    <mergeCell ref="C45:AG45"/>
    <mergeCell ref="AE29:AG29"/>
    <mergeCell ref="A31:AG31"/>
    <mergeCell ref="B32:G32"/>
    <mergeCell ref="I32:L32"/>
    <mergeCell ref="M32:N32"/>
    <mergeCell ref="O32:S32"/>
    <mergeCell ref="U32:V32"/>
    <mergeCell ref="W32:Y32"/>
    <mergeCell ref="C33:AG33"/>
    <mergeCell ref="A18:A20"/>
    <mergeCell ref="A1:AG1"/>
    <mergeCell ref="B2:G2"/>
    <mergeCell ref="I2:L2"/>
    <mergeCell ref="M2:N2"/>
    <mergeCell ref="O2:S2"/>
    <mergeCell ref="U2:V2"/>
    <mergeCell ref="W2:Y2"/>
    <mergeCell ref="C3:AG3"/>
    <mergeCell ref="A6:A8"/>
    <mergeCell ref="A9:A11"/>
    <mergeCell ref="A12:A14"/>
    <mergeCell ref="C15:AG15"/>
    <mergeCell ref="C63:AG63"/>
    <mergeCell ref="A66:A68"/>
    <mergeCell ref="A69:A71"/>
    <mergeCell ref="A72:A74"/>
    <mergeCell ref="C75:AG75"/>
    <mergeCell ref="A61:AG61"/>
    <mergeCell ref="B62:G62"/>
    <mergeCell ref="I62:L62"/>
    <mergeCell ref="M62:N62"/>
    <mergeCell ref="O62:S62"/>
    <mergeCell ref="U62:V62"/>
    <mergeCell ref="W62:Y62"/>
    <mergeCell ref="A78:A80"/>
    <mergeCell ref="A81:A83"/>
    <mergeCell ref="A84:A86"/>
    <mergeCell ref="W87:AC87"/>
    <mergeCell ref="P89:Q89"/>
    <mergeCell ref="R89:T89"/>
    <mergeCell ref="U89:V89"/>
    <mergeCell ref="W89:Y89"/>
    <mergeCell ref="AA89:AC89"/>
    <mergeCell ref="C94:AG94"/>
    <mergeCell ref="A97:A99"/>
    <mergeCell ref="A100:A102"/>
    <mergeCell ref="A103:A105"/>
    <mergeCell ref="C106:AG106"/>
    <mergeCell ref="AE89:AG89"/>
    <mergeCell ref="A92:AG92"/>
    <mergeCell ref="B93:G93"/>
    <mergeCell ref="I93:L93"/>
    <mergeCell ref="M93:N93"/>
    <mergeCell ref="O93:S93"/>
    <mergeCell ref="U93:V93"/>
    <mergeCell ref="W93:Y93"/>
    <mergeCell ref="A109:A111"/>
    <mergeCell ref="A112:A114"/>
    <mergeCell ref="A115:A117"/>
    <mergeCell ref="W118:AC118"/>
    <mergeCell ref="P120:Q120"/>
    <mergeCell ref="R120:T120"/>
    <mergeCell ref="U120:V120"/>
    <mergeCell ref="W120:Y120"/>
    <mergeCell ref="AA120:AC120"/>
    <mergeCell ref="C125:AG125"/>
    <mergeCell ref="A128:A130"/>
    <mergeCell ref="A131:A133"/>
    <mergeCell ref="A134:A136"/>
    <mergeCell ref="C137:AG137"/>
    <mergeCell ref="AE120:AG120"/>
    <mergeCell ref="A123:AG123"/>
    <mergeCell ref="B124:G124"/>
    <mergeCell ref="I124:L124"/>
    <mergeCell ref="M124:N124"/>
    <mergeCell ref="O124:S124"/>
    <mergeCell ref="U124:V124"/>
    <mergeCell ref="W124:Y124"/>
    <mergeCell ref="AE151:AG151"/>
    <mergeCell ref="A140:A142"/>
    <mergeCell ref="A143:A145"/>
    <mergeCell ref="A146:A148"/>
    <mergeCell ref="W149:AC149"/>
    <mergeCell ref="P151:Q151"/>
    <mergeCell ref="R151:T151"/>
    <mergeCell ref="U151:V151"/>
    <mergeCell ref="W151:Y151"/>
    <mergeCell ref="AA151:AC151"/>
  </mergeCells>
  <conditionalFormatting sqref="C17">
    <cfRule type="cellIs" dxfId="32" priority="35" operator="equal">
      <formula>0</formula>
    </cfRule>
    <cfRule type="cellIs" dxfId="31" priority="36" operator="equal">
      <formula>0</formula>
    </cfRule>
  </conditionalFormatting>
  <conditionalFormatting sqref="C47">
    <cfRule type="cellIs" dxfId="30" priority="61" operator="equal">
      <formula>0</formula>
    </cfRule>
    <cfRule type="cellIs" dxfId="29" priority="62" operator="equal">
      <formula>0</formula>
    </cfRule>
  </conditionalFormatting>
  <conditionalFormatting sqref="C5:AG6">
    <cfRule type="cellIs" dxfId="28" priority="3" operator="equal">
      <formula>0</formula>
    </cfRule>
  </conditionalFormatting>
  <conditionalFormatting sqref="C7:AG17 C1:AG5">
    <cfRule type="cellIs" dxfId="27" priority="44" operator="equal">
      <formula>0</formula>
    </cfRule>
  </conditionalFormatting>
  <conditionalFormatting sqref="C17:AG18">
    <cfRule type="cellIs" dxfId="26" priority="1" operator="equal">
      <formula>0</formula>
    </cfRule>
  </conditionalFormatting>
  <conditionalFormatting sqref="C19:AG1048576">
    <cfRule type="cellIs" dxfId="25" priority="27" operator="equal">
      <formula>0</formula>
    </cfRule>
  </conditionalFormatting>
  <conditionalFormatting sqref="C35:AG35">
    <cfRule type="cellIs" dxfId="24" priority="53" operator="equal">
      <formula>0</formula>
    </cfRule>
  </conditionalFormatting>
  <conditionalFormatting sqref="C47:AG47">
    <cfRule type="cellIs" dxfId="23" priority="43" operator="equal">
      <formula>0</formula>
    </cfRule>
  </conditionalFormatting>
  <conditionalFormatting sqref="C65:AG65">
    <cfRule type="cellIs" dxfId="22" priority="52" operator="equal">
      <formula>0</formula>
    </cfRule>
  </conditionalFormatting>
  <conditionalFormatting sqref="C77:AG77">
    <cfRule type="cellIs" dxfId="21" priority="42" operator="equal">
      <formula>0</formula>
    </cfRule>
  </conditionalFormatting>
  <conditionalFormatting sqref="C96:AG96">
    <cfRule type="cellIs" dxfId="20" priority="51" operator="equal">
      <formula>0</formula>
    </cfRule>
  </conditionalFormatting>
  <conditionalFormatting sqref="C108:AG108">
    <cfRule type="cellIs" dxfId="19" priority="41" operator="equal">
      <formula>0</formula>
    </cfRule>
  </conditionalFormatting>
  <conditionalFormatting sqref="C127:AG127">
    <cfRule type="cellIs" dxfId="18" priority="48" operator="equal">
      <formula>0</formula>
    </cfRule>
  </conditionalFormatting>
  <conditionalFormatting sqref="C139:AG139">
    <cfRule type="cellIs" dxfId="17" priority="40" operator="equal">
      <formula>0</formula>
    </cfRule>
  </conditionalFormatting>
  <conditionalFormatting sqref="P18 V18 AB18:AC18 AF18:AG18">
    <cfRule type="cellIs" dxfId="16" priority="2" operator="equal">
      <formula>0</formula>
    </cfRule>
  </conditionalFormatting>
  <conditionalFormatting sqref="AC17:AF17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AC47:AF47">
    <cfRule type="cellIs" dxfId="13" priority="55" operator="equal">
      <formula>0</formula>
    </cfRule>
    <cfRule type="cellIs" dxfId="12" priority="56" operator="equal">
      <formula>0</formula>
    </cfRule>
  </conditionalFormatting>
  <conditionalFormatting sqref="AE1:AG5 AE7:AG16 AE19:AG33 AE35:AG45 AE48:AG65">
    <cfRule type="cellIs" dxfId="11" priority="100" operator="equal">
      <formula>0</formula>
    </cfRule>
    <cfRule type="cellIs" dxfId="10" priority="101" operator="equal">
      <formula>0</formula>
    </cfRule>
  </conditionalFormatting>
  <conditionalFormatting sqref="AE67:AG77">
    <cfRule type="cellIs" dxfId="9" priority="64" operator="equal">
      <formula>0</formula>
    </cfRule>
    <cfRule type="cellIs" dxfId="8" priority="65" operator="equal">
      <formula>0</formula>
    </cfRule>
  </conditionalFormatting>
  <conditionalFormatting sqref="AE79:AG1048576">
    <cfRule type="cellIs" dxfId="7" priority="46" operator="equal">
      <formula>0</formula>
    </cfRule>
    <cfRule type="cellIs" dxfId="6" priority="47" operator="equal">
      <formula>0</formula>
    </cfRule>
  </conditionalFormatting>
  <pageMargins left="0.27559055118110237" right="0.27559055118110237" top="0.23622047244094491" bottom="0.39370078740157483" header="0.23622047244094491" footer="0.15748031496062992"/>
  <pageSetup paperSize="9" scale="93" orientation="landscape" r:id="rId1"/>
  <headerFooter>
    <oddFooter>&amp;L&amp;"Angsana New,Regular"&amp;10แบบฟอร์มเลขที่ BWI 021/002&amp;R&amp;"Angsana New,Regular"&amp;10                แก้ไขครั้งที่ 01/0150</oddFooter>
  </headerFooter>
  <rowBreaks count="4" manualBreakCount="4">
    <brk id="30" max="16383" man="1"/>
    <brk id="60" max="16383" man="1"/>
    <brk id="91" max="16383" man="1"/>
    <brk id="122" max="1638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0538B6-EC21-49ED-BF29-913EBCE623FA}">
          <x14:formula1>
            <xm:f>'น้ำยา-เครื่อง'!$A$4:$A$13</xm:f>
          </x14:formula1>
          <xm:sqref>B5 B17 B35 B47 B65 B77 B96 B108 B127 B139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3CD2-3EDA-48BD-A81F-D1F629B68469}">
  <dimension ref="A1:AI119"/>
  <sheetViews>
    <sheetView showWhiteSpace="0" view="pageBreakPreview" zoomScale="60" zoomScaleNormal="100" workbookViewId="0">
      <selection activeCell="C3" sqref="C3:AG3"/>
    </sheetView>
  </sheetViews>
  <sheetFormatPr defaultColWidth="9.125" defaultRowHeight="14.25" x14ac:dyDescent="0.2"/>
  <cols>
    <col min="1" max="1" width="20.625" customWidth="1"/>
    <col min="2" max="2" width="6" bestFit="1" customWidth="1"/>
    <col min="3" max="33" width="3.75" customWidth="1"/>
  </cols>
  <sheetData>
    <row r="1" spans="1:33" ht="23.25" x14ac:dyDescent="0.5">
      <c r="A1" s="27" t="s">
        <v>49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</row>
    <row r="2" spans="1:33" s="1" customFormat="1" ht="21" x14ac:dyDescent="0.45">
      <c r="A2" s="5" t="s">
        <v>9</v>
      </c>
      <c r="B2" s="28" t="s">
        <v>7</v>
      </c>
      <c r="C2" s="28"/>
      <c r="D2" s="28"/>
      <c r="E2" s="28"/>
      <c r="F2" s="28"/>
      <c r="G2" s="28"/>
      <c r="H2" s="5" t="s">
        <v>10</v>
      </c>
      <c r="I2" s="28" t="s">
        <v>7</v>
      </c>
      <c r="J2" s="28"/>
      <c r="K2" s="28"/>
      <c r="L2" s="28"/>
      <c r="M2" s="29" t="s">
        <v>11</v>
      </c>
      <c r="N2" s="29"/>
      <c r="O2" s="28" t="s">
        <v>28</v>
      </c>
      <c r="P2" s="28"/>
      <c r="Q2" s="28"/>
      <c r="R2" s="28"/>
      <c r="S2" s="28"/>
      <c r="T2" s="5" t="s">
        <v>8</v>
      </c>
      <c r="U2" s="28">
        <v>2569</v>
      </c>
      <c r="V2" s="28"/>
      <c r="W2" s="29" t="s">
        <v>16</v>
      </c>
      <c r="X2" s="29"/>
      <c r="Y2" s="29"/>
      <c r="Z2" s="1" t="s">
        <v>29</v>
      </c>
    </row>
    <row r="3" spans="1:33" s="2" customFormat="1" ht="18.75" customHeight="1" x14ac:dyDescent="0.2">
      <c r="A3" s="11" t="s">
        <v>0</v>
      </c>
      <c r="B3" s="12" t="s">
        <v>2</v>
      </c>
      <c r="C3" s="25" t="str">
        <f>Clean!C3</f>
        <v>เดือน กรกฎาคม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</row>
    <row r="4" spans="1:33" s="3" customFormat="1" ht="18" x14ac:dyDescent="0.2">
      <c r="A4" s="14" t="s">
        <v>1</v>
      </c>
      <c r="B4" s="15" t="s">
        <v>3</v>
      </c>
      <c r="C4" s="13">
        <v>1</v>
      </c>
      <c r="D4" s="13">
        <v>2</v>
      </c>
      <c r="E4" s="13">
        <v>3</v>
      </c>
      <c r="F4" s="13">
        <v>4</v>
      </c>
      <c r="G4" s="13">
        <v>5</v>
      </c>
      <c r="H4" s="13">
        <v>6</v>
      </c>
      <c r="I4" s="13">
        <v>7</v>
      </c>
      <c r="J4" s="13">
        <v>8</v>
      </c>
      <c r="K4" s="13">
        <v>9</v>
      </c>
      <c r="L4" s="13">
        <v>10</v>
      </c>
      <c r="M4" s="13">
        <v>11</v>
      </c>
      <c r="N4" s="13">
        <v>12</v>
      </c>
      <c r="O4" s="13">
        <v>13</v>
      </c>
      <c r="P4" s="13">
        <v>14</v>
      </c>
      <c r="Q4" s="13">
        <v>15</v>
      </c>
      <c r="R4" s="13">
        <v>16</v>
      </c>
      <c r="S4" s="13">
        <v>17</v>
      </c>
      <c r="T4" s="13">
        <v>18</v>
      </c>
      <c r="U4" s="13">
        <v>19</v>
      </c>
      <c r="V4" s="13">
        <v>20</v>
      </c>
      <c r="W4" s="13">
        <v>21</v>
      </c>
      <c r="X4" s="13">
        <v>22</v>
      </c>
      <c r="Y4" s="13">
        <v>23</v>
      </c>
      <c r="Z4" s="13">
        <v>24</v>
      </c>
      <c r="AA4" s="13">
        <v>25</v>
      </c>
      <c r="AB4" s="13">
        <v>26</v>
      </c>
      <c r="AC4" s="13">
        <v>27</v>
      </c>
      <c r="AD4" s="13">
        <v>28</v>
      </c>
      <c r="AE4" s="13">
        <v>29</v>
      </c>
      <c r="AF4" s="13">
        <v>30</v>
      </c>
      <c r="AG4" s="13">
        <v>31</v>
      </c>
    </row>
    <row r="5" spans="1:33" s="2" customFormat="1" ht="18" x14ac:dyDescent="0.2">
      <c r="A5" s="16"/>
      <c r="B5" s="17" t="s">
        <v>4</v>
      </c>
      <c r="C5" s="13">
        <f>Clean!C35</f>
        <v>1</v>
      </c>
      <c r="D5" s="13">
        <f>Clean!D35</f>
        <v>1</v>
      </c>
      <c r="E5" s="13">
        <f>Clean!E35</f>
        <v>1</v>
      </c>
      <c r="F5" s="13">
        <f>Clean!F35</f>
        <v>0</v>
      </c>
      <c r="G5" s="13">
        <f>Clean!G35</f>
        <v>0</v>
      </c>
      <c r="H5" s="13">
        <f>Clean!H35</f>
        <v>2</v>
      </c>
      <c r="I5" s="13">
        <f>Clean!I35</f>
        <v>2</v>
      </c>
      <c r="J5" s="13">
        <f>Clean!J35</f>
        <v>2</v>
      </c>
      <c r="K5" s="13">
        <f>Clean!K35</f>
        <v>2</v>
      </c>
      <c r="L5" s="13">
        <f>Clean!L35</f>
        <v>2</v>
      </c>
      <c r="M5" s="13">
        <f>Clean!M35</f>
        <v>0</v>
      </c>
      <c r="N5" s="13">
        <f>Clean!N35</f>
        <v>0</v>
      </c>
      <c r="O5" s="13">
        <f>Clean!O35</f>
        <v>1</v>
      </c>
      <c r="P5" s="13">
        <f>Clean!P35</f>
        <v>1</v>
      </c>
      <c r="Q5" s="13">
        <f>Clean!Q35</f>
        <v>1</v>
      </c>
      <c r="R5" s="13">
        <f>Clean!R35</f>
        <v>1</v>
      </c>
      <c r="S5" s="13">
        <f>Clean!S35</f>
        <v>1</v>
      </c>
      <c r="T5" s="13">
        <f>Clean!T35</f>
        <v>0</v>
      </c>
      <c r="U5" s="13">
        <f>Clean!U35</f>
        <v>0</v>
      </c>
      <c r="V5" s="13">
        <f>Clean!V35</f>
        <v>2</v>
      </c>
      <c r="W5" s="13">
        <f>Clean!W35</f>
        <v>2</v>
      </c>
      <c r="X5" s="13">
        <f>Clean!X35</f>
        <v>2</v>
      </c>
      <c r="Y5" s="13">
        <f>Clean!Y35</f>
        <v>2</v>
      </c>
      <c r="Z5" s="13">
        <f>Clean!Z35</f>
        <v>2</v>
      </c>
      <c r="AA5" s="13">
        <f>Clean!AA35</f>
        <v>0</v>
      </c>
      <c r="AB5" s="13">
        <f>Clean!AB35</f>
        <v>0</v>
      </c>
      <c r="AC5" s="13">
        <f>Clean!AC35</f>
        <v>1</v>
      </c>
      <c r="AD5" s="13">
        <f>Clean!AD35</f>
        <v>1</v>
      </c>
      <c r="AE5" s="13">
        <f>Clean!AE35</f>
        <v>1</v>
      </c>
      <c r="AF5" s="13">
        <f>Clean!AF35</f>
        <v>1</v>
      </c>
      <c r="AG5" s="13">
        <f>Clean!AG35</f>
        <v>1</v>
      </c>
    </row>
    <row r="6" spans="1:33" s="2" customFormat="1" ht="18" x14ac:dyDescent="0.2">
      <c r="A6" s="21" t="s">
        <v>30</v>
      </c>
      <c r="B6" s="18" t="s">
        <v>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spans="1:33" s="2" customFormat="1" ht="18" x14ac:dyDescent="0.2">
      <c r="A7" s="21"/>
      <c r="B7" s="18" t="s">
        <v>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spans="1:33" s="2" customFormat="1" ht="18" x14ac:dyDescent="0.2">
      <c r="A8" s="21"/>
      <c r="B8" s="18" t="s">
        <v>45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spans="1:33" s="2" customFormat="1" ht="18.75" customHeight="1" x14ac:dyDescent="0.2">
      <c r="A9" s="21" t="s">
        <v>31</v>
      </c>
      <c r="B9" s="18" t="s">
        <v>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s="2" customFormat="1" ht="18" x14ac:dyDescent="0.2">
      <c r="A10" s="21"/>
      <c r="B10" s="18" t="s">
        <v>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 spans="1:33" s="2" customFormat="1" ht="18" x14ac:dyDescent="0.2">
      <c r="A11" s="21"/>
      <c r="B11" s="18" t="s">
        <v>45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s="2" customFormat="1" ht="18.75" customHeight="1" x14ac:dyDescent="0.2">
      <c r="A12" s="21" t="s">
        <v>32</v>
      </c>
      <c r="B12" s="18" t="s">
        <v>5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s="2" customFormat="1" ht="18" x14ac:dyDescent="0.2">
      <c r="A13" s="21"/>
      <c r="B13" s="18" t="s">
        <v>6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 spans="1:33" s="2" customFormat="1" ht="18" x14ac:dyDescent="0.2">
      <c r="A14" s="21"/>
      <c r="B14" s="18" t="s">
        <v>45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s="2" customFormat="1" ht="18.75" customHeight="1" x14ac:dyDescent="0.2">
      <c r="A15" s="11" t="s">
        <v>0</v>
      </c>
      <c r="B15" s="12" t="s">
        <v>2</v>
      </c>
      <c r="C15" s="25" t="str">
        <f>Clean!C15</f>
        <v>เดือน สิงหาคม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</row>
    <row r="16" spans="1:33" s="3" customFormat="1" ht="18" x14ac:dyDescent="0.2">
      <c r="A16" s="14" t="s">
        <v>1</v>
      </c>
      <c r="B16" s="15" t="s">
        <v>3</v>
      </c>
      <c r="C16" s="13">
        <v>1</v>
      </c>
      <c r="D16" s="13">
        <v>2</v>
      </c>
      <c r="E16" s="13">
        <v>3</v>
      </c>
      <c r="F16" s="13">
        <v>4</v>
      </c>
      <c r="G16" s="13">
        <v>5</v>
      </c>
      <c r="H16" s="13">
        <v>6</v>
      </c>
      <c r="I16" s="13">
        <v>7</v>
      </c>
      <c r="J16" s="13">
        <v>8</v>
      </c>
      <c r="K16" s="13">
        <v>9</v>
      </c>
      <c r="L16" s="13">
        <v>10</v>
      </c>
      <c r="M16" s="13">
        <v>11</v>
      </c>
      <c r="N16" s="13">
        <v>12</v>
      </c>
      <c r="O16" s="13">
        <v>13</v>
      </c>
      <c r="P16" s="13">
        <v>14</v>
      </c>
      <c r="Q16" s="13">
        <v>15</v>
      </c>
      <c r="R16" s="13">
        <v>16</v>
      </c>
      <c r="S16" s="13">
        <v>17</v>
      </c>
      <c r="T16" s="13">
        <v>18</v>
      </c>
      <c r="U16" s="13">
        <v>19</v>
      </c>
      <c r="V16" s="13">
        <v>20</v>
      </c>
      <c r="W16" s="13">
        <v>21</v>
      </c>
      <c r="X16" s="13">
        <v>22</v>
      </c>
      <c r="Y16" s="13">
        <v>23</v>
      </c>
      <c r="Z16" s="13">
        <v>24</v>
      </c>
      <c r="AA16" s="13">
        <v>25</v>
      </c>
      <c r="AB16" s="13">
        <v>26</v>
      </c>
      <c r="AC16" s="13">
        <v>27</v>
      </c>
      <c r="AD16" s="13">
        <v>28</v>
      </c>
      <c r="AE16" s="13">
        <v>29</v>
      </c>
      <c r="AF16" s="13">
        <v>30</v>
      </c>
      <c r="AG16" s="13">
        <f>Clean!AG16</f>
        <v>31</v>
      </c>
    </row>
    <row r="17" spans="1:33" s="2" customFormat="1" ht="18" x14ac:dyDescent="0.2">
      <c r="A17" s="16"/>
      <c r="B17" s="17" t="s">
        <v>23</v>
      </c>
      <c r="C17" s="13">
        <f>Clean!C47</f>
        <v>0</v>
      </c>
      <c r="D17" s="13">
        <f>Clean!D47</f>
        <v>0</v>
      </c>
      <c r="E17" s="13">
        <f>Clean!E47</f>
        <v>2</v>
      </c>
      <c r="F17" s="13">
        <f>Clean!F47</f>
        <v>2</v>
      </c>
      <c r="G17" s="13">
        <f>Clean!G47</f>
        <v>2</v>
      </c>
      <c r="H17" s="13">
        <f>Clean!H47</f>
        <v>2</v>
      </c>
      <c r="I17" s="13">
        <f>Clean!I47</f>
        <v>2</v>
      </c>
      <c r="J17" s="13">
        <f>Clean!J47</f>
        <v>0</v>
      </c>
      <c r="K17" s="13">
        <f>Clean!K47</f>
        <v>0</v>
      </c>
      <c r="L17" s="13">
        <f>Clean!L47</f>
        <v>1</v>
      </c>
      <c r="M17" s="13">
        <f>Clean!M47</f>
        <v>1</v>
      </c>
      <c r="N17" s="13">
        <f>Clean!N47</f>
        <v>1</v>
      </c>
      <c r="O17" s="13">
        <f>Clean!O47</f>
        <v>1</v>
      </c>
      <c r="P17" s="13">
        <f>Clean!P47</f>
        <v>1</v>
      </c>
      <c r="Q17" s="13">
        <f>Clean!Q47</f>
        <v>0</v>
      </c>
      <c r="R17" s="13">
        <f>Clean!R47</f>
        <v>0</v>
      </c>
      <c r="S17" s="13">
        <f>Clean!S47</f>
        <v>2</v>
      </c>
      <c r="T17" s="13">
        <f>Clean!T47</f>
        <v>2</v>
      </c>
      <c r="U17" s="13">
        <f>Clean!U47</f>
        <v>2</v>
      </c>
      <c r="V17" s="13">
        <f>Clean!V47</f>
        <v>2</v>
      </c>
      <c r="W17" s="13">
        <f>Clean!W47</f>
        <v>2</v>
      </c>
      <c r="X17" s="13">
        <f>Clean!X47</f>
        <v>0</v>
      </c>
      <c r="Y17" s="13">
        <f>Clean!Y47</f>
        <v>0</v>
      </c>
      <c r="Z17" s="13">
        <f>Clean!Z47</f>
        <v>1</v>
      </c>
      <c r="AA17" s="13">
        <f>Clean!AA47</f>
        <v>1</v>
      </c>
      <c r="AB17" s="13">
        <f>Clean!AB47</f>
        <v>1</v>
      </c>
      <c r="AC17" s="13">
        <f>Clean!AC47</f>
        <v>1</v>
      </c>
      <c r="AD17" s="13">
        <f>Clean!AD47</f>
        <v>1</v>
      </c>
      <c r="AE17" s="13">
        <f>Clean!AE47</f>
        <v>0</v>
      </c>
      <c r="AF17" s="13">
        <f>Clean!AF47</f>
        <v>0</v>
      </c>
      <c r="AG17" s="13">
        <f>Clean!AG47</f>
        <v>2</v>
      </c>
    </row>
    <row r="18" spans="1:33" s="2" customFormat="1" ht="18" x14ac:dyDescent="0.2">
      <c r="A18" s="21" t="str">
        <f>IF(A6="","",A6)</f>
        <v>บันทึกความดันห้อง (เกณฑ์ 0.09-0.13) (ทุกวันที่ชั่งสารเคมี)</v>
      </c>
      <c r="B18" s="18" t="s">
        <v>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s="2" customFormat="1" ht="18" x14ac:dyDescent="0.2">
      <c r="A19" s="21"/>
      <c r="B19" s="18" t="s">
        <v>6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s="2" customFormat="1" ht="18" x14ac:dyDescent="0.2">
      <c r="A20" s="21"/>
      <c r="B20" s="18" t="s">
        <v>45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s="2" customFormat="1" ht="18.75" customHeight="1" x14ac:dyDescent="0.2">
      <c r="A21" s="21" t="str">
        <f>IF(A9="","",A9)</f>
        <v>บันทึกอุณหภูมิ (เกณฑ์ 18-24 C) (ทุกวันที่ชั่งสารเคมี)</v>
      </c>
      <c r="B21" s="18" t="s">
        <v>5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spans="1:33" s="2" customFormat="1" ht="18" x14ac:dyDescent="0.2">
      <c r="A22" s="21"/>
      <c r="B22" s="18" t="s">
        <v>6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s="2" customFormat="1" ht="18" x14ac:dyDescent="0.2">
      <c r="A23" s="21"/>
      <c r="B23" s="18" t="s">
        <v>45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s="2" customFormat="1" ht="18.75" customHeight="1" x14ac:dyDescent="0.2">
      <c r="A24" s="21" t="str">
        <f>IF(A12="","",A12)</f>
        <v>บันทึกความชื้นห้อง (เกณฑ์ 40-60%RH) (ทุกวันที่ชั่งสารเคมี)</v>
      </c>
      <c r="B24" s="18" t="s">
        <v>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s="2" customFormat="1" ht="18" x14ac:dyDescent="0.2">
      <c r="A25" s="21"/>
      <c r="B25" s="18" t="s">
        <v>6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s="2" customFormat="1" ht="18" x14ac:dyDescent="0.2">
      <c r="A26" s="21"/>
      <c r="B26" s="18" t="s">
        <v>45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s="4" customFormat="1" ht="18" x14ac:dyDescent="0.4">
      <c r="A27" s="4" t="s">
        <v>13</v>
      </c>
      <c r="W27" s="22" t="s">
        <v>22</v>
      </c>
      <c r="X27" s="22"/>
      <c r="Y27" s="22"/>
      <c r="Z27" s="22"/>
      <c r="AA27" s="22"/>
      <c r="AB27" s="22"/>
      <c r="AC27" s="22"/>
      <c r="AD27" s="9"/>
      <c r="AE27" s="9"/>
      <c r="AF27" s="9"/>
      <c r="AG27" s="9"/>
    </row>
    <row r="28" spans="1:33" s="4" customFormat="1" ht="18" x14ac:dyDescent="0.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s="4" customFormat="1" ht="18" x14ac:dyDescent="0.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23" t="s">
        <v>12</v>
      </c>
      <c r="Q29" s="23"/>
      <c r="R29" s="20" t="s">
        <v>17</v>
      </c>
      <c r="S29" s="20"/>
      <c r="T29" s="20"/>
      <c r="U29" s="23" t="s">
        <v>47</v>
      </c>
      <c r="V29" s="23"/>
      <c r="W29" s="20" t="s">
        <v>18</v>
      </c>
      <c r="X29" s="20"/>
      <c r="Y29" s="20"/>
      <c r="Z29" s="7" t="s">
        <v>14</v>
      </c>
      <c r="AA29" s="24">
        <f>Clean!AA29</f>
        <v>244531</v>
      </c>
      <c r="AB29" s="20"/>
      <c r="AC29" s="20"/>
      <c r="AD29" s="8"/>
      <c r="AE29" s="20"/>
      <c r="AF29" s="20"/>
      <c r="AG29" s="20"/>
    </row>
    <row r="31" spans="1:33" ht="23.25" x14ac:dyDescent="0.5">
      <c r="A31" s="27" t="s">
        <v>49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</row>
    <row r="32" spans="1:33" s="1" customFormat="1" ht="21" x14ac:dyDescent="0.45">
      <c r="A32" s="5" t="s">
        <v>9</v>
      </c>
      <c r="B32" s="28" t="s">
        <v>7</v>
      </c>
      <c r="C32" s="28"/>
      <c r="D32" s="28"/>
      <c r="E32" s="28"/>
      <c r="F32" s="28"/>
      <c r="G32" s="28"/>
      <c r="H32" s="5" t="s">
        <v>7</v>
      </c>
      <c r="I32" s="28" t="s">
        <v>7</v>
      </c>
      <c r="J32" s="28"/>
      <c r="K32" s="28"/>
      <c r="L32" s="28"/>
      <c r="M32" s="29" t="s">
        <v>11</v>
      </c>
      <c r="N32" s="29"/>
      <c r="O32" s="28" t="s">
        <v>33</v>
      </c>
      <c r="P32" s="28"/>
      <c r="Q32" s="28"/>
      <c r="R32" s="28"/>
      <c r="S32" s="28"/>
      <c r="T32" s="5" t="s">
        <v>8</v>
      </c>
      <c r="U32" s="28">
        <f>U2</f>
        <v>2569</v>
      </c>
      <c r="V32" s="28"/>
      <c r="W32" s="29" t="s">
        <v>16</v>
      </c>
      <c r="X32" s="29"/>
      <c r="Y32" s="29"/>
      <c r="Z32" s="1" t="s">
        <v>34</v>
      </c>
    </row>
    <row r="33" spans="1:35" ht="18" x14ac:dyDescent="0.2">
      <c r="A33" s="11" t="s">
        <v>0</v>
      </c>
      <c r="B33" s="12" t="s">
        <v>2</v>
      </c>
      <c r="C33" s="34" t="str">
        <f>C3</f>
        <v>เดือน กรกฎาคม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</row>
    <row r="34" spans="1:35" ht="18" x14ac:dyDescent="0.2">
      <c r="A34" s="14" t="s">
        <v>1</v>
      </c>
      <c r="B34" s="15" t="s">
        <v>3</v>
      </c>
      <c r="C34" s="13">
        <f>C4</f>
        <v>1</v>
      </c>
      <c r="D34" s="13">
        <f>D4</f>
        <v>2</v>
      </c>
      <c r="E34" s="13">
        <f t="shared" ref="E34:AG34" si="0">E4</f>
        <v>3</v>
      </c>
      <c r="F34" s="13">
        <f t="shared" si="0"/>
        <v>4</v>
      </c>
      <c r="G34" s="13">
        <f t="shared" si="0"/>
        <v>5</v>
      </c>
      <c r="H34" s="13">
        <f t="shared" si="0"/>
        <v>6</v>
      </c>
      <c r="I34" s="13">
        <f t="shared" si="0"/>
        <v>7</v>
      </c>
      <c r="J34" s="13">
        <f t="shared" si="0"/>
        <v>8</v>
      </c>
      <c r="K34" s="13">
        <f t="shared" si="0"/>
        <v>9</v>
      </c>
      <c r="L34" s="13">
        <f t="shared" si="0"/>
        <v>10</v>
      </c>
      <c r="M34" s="13">
        <f t="shared" si="0"/>
        <v>11</v>
      </c>
      <c r="N34" s="13">
        <f t="shared" si="0"/>
        <v>12</v>
      </c>
      <c r="O34" s="13">
        <f t="shared" si="0"/>
        <v>13</v>
      </c>
      <c r="P34" s="13">
        <f t="shared" si="0"/>
        <v>14</v>
      </c>
      <c r="Q34" s="13">
        <f t="shared" si="0"/>
        <v>15</v>
      </c>
      <c r="R34" s="13">
        <f t="shared" si="0"/>
        <v>16</v>
      </c>
      <c r="S34" s="13">
        <f t="shared" si="0"/>
        <v>17</v>
      </c>
      <c r="T34" s="13">
        <f t="shared" si="0"/>
        <v>18</v>
      </c>
      <c r="U34" s="13">
        <f t="shared" si="0"/>
        <v>19</v>
      </c>
      <c r="V34" s="13">
        <f t="shared" si="0"/>
        <v>20</v>
      </c>
      <c r="W34" s="13">
        <f t="shared" si="0"/>
        <v>21</v>
      </c>
      <c r="X34" s="13">
        <f t="shared" si="0"/>
        <v>22</v>
      </c>
      <c r="Y34" s="13">
        <f t="shared" si="0"/>
        <v>23</v>
      </c>
      <c r="Z34" s="13">
        <f t="shared" si="0"/>
        <v>24</v>
      </c>
      <c r="AA34" s="13">
        <f t="shared" si="0"/>
        <v>25</v>
      </c>
      <c r="AB34" s="13">
        <f t="shared" si="0"/>
        <v>26</v>
      </c>
      <c r="AC34" s="13">
        <f t="shared" si="0"/>
        <v>27</v>
      </c>
      <c r="AD34" s="13">
        <f t="shared" si="0"/>
        <v>28</v>
      </c>
      <c r="AE34" s="13">
        <f t="shared" si="0"/>
        <v>29</v>
      </c>
      <c r="AF34" s="13">
        <f t="shared" si="0"/>
        <v>30</v>
      </c>
      <c r="AG34" s="13">
        <f t="shared" si="0"/>
        <v>31</v>
      </c>
    </row>
    <row r="35" spans="1:35" ht="18" x14ac:dyDescent="0.2">
      <c r="A35" s="16"/>
      <c r="B35" s="17" t="s">
        <v>4</v>
      </c>
      <c r="C35" s="13">
        <f>Clean!C5</f>
        <v>1</v>
      </c>
      <c r="D35" s="13">
        <f>Clean!D5</f>
        <v>1</v>
      </c>
      <c r="E35" s="13">
        <f>Clean!E5</f>
        <v>1</v>
      </c>
      <c r="F35" s="13">
        <f>Clean!F5</f>
        <v>0</v>
      </c>
      <c r="G35" s="13">
        <f>Clean!G5</f>
        <v>0</v>
      </c>
      <c r="H35" s="13">
        <f>Clean!H5</f>
        <v>2</v>
      </c>
      <c r="I35" s="13">
        <f>Clean!I5</f>
        <v>2</v>
      </c>
      <c r="J35" s="13">
        <f>Clean!J5</f>
        <v>2</v>
      </c>
      <c r="K35" s="13">
        <f>Clean!K5</f>
        <v>2</v>
      </c>
      <c r="L35" s="13">
        <f>Clean!L5</f>
        <v>2</v>
      </c>
      <c r="M35" s="13">
        <f>Clean!M5</f>
        <v>0</v>
      </c>
      <c r="N35" s="13">
        <f>Clean!N5</f>
        <v>0</v>
      </c>
      <c r="O35" s="13">
        <f>Clean!O5</f>
        <v>1</v>
      </c>
      <c r="P35" s="13">
        <f>Clean!P5</f>
        <v>1</v>
      </c>
      <c r="Q35" s="13">
        <f>Clean!Q5</f>
        <v>1</v>
      </c>
      <c r="R35" s="13">
        <f>Clean!R5</f>
        <v>1</v>
      </c>
      <c r="S35" s="13">
        <f>Clean!S5</f>
        <v>1</v>
      </c>
      <c r="T35" s="13">
        <f>Clean!T5</f>
        <v>0</v>
      </c>
      <c r="U35" s="13">
        <f>Clean!U5</f>
        <v>0</v>
      </c>
      <c r="V35" s="13">
        <f>Clean!V5</f>
        <v>2</v>
      </c>
      <c r="W35" s="13">
        <f>Clean!W5</f>
        <v>2</v>
      </c>
      <c r="X35" s="13">
        <f>Clean!X5</f>
        <v>2</v>
      </c>
      <c r="Y35" s="13">
        <f>Clean!Y5</f>
        <v>2</v>
      </c>
      <c r="Z35" s="13">
        <f>Clean!Z5</f>
        <v>2</v>
      </c>
      <c r="AA35" s="13">
        <f>Clean!AA5</f>
        <v>0</v>
      </c>
      <c r="AB35" s="13">
        <f>Clean!AB5</f>
        <v>0</v>
      </c>
      <c r="AC35" s="13">
        <f>Clean!AC5</f>
        <v>1</v>
      </c>
      <c r="AD35" s="13">
        <f>Clean!AD5</f>
        <v>1</v>
      </c>
      <c r="AE35" s="13">
        <f>Clean!AE5</f>
        <v>1</v>
      </c>
      <c r="AF35" s="13">
        <f>Clean!AF5</f>
        <v>1</v>
      </c>
      <c r="AG35" s="13">
        <f>Clean!AG5</f>
        <v>1</v>
      </c>
    </row>
    <row r="36" spans="1:35" ht="18.75" customHeight="1" x14ac:dyDescent="0.2">
      <c r="A36" s="21" t="s">
        <v>35</v>
      </c>
      <c r="B36" s="18" t="s">
        <v>5</v>
      </c>
      <c r="C36" s="13" t="str">
        <f>Clean!C6</f>
        <v>O</v>
      </c>
      <c r="D36" s="13" t="str">
        <f>Clean!D6</f>
        <v/>
      </c>
      <c r="E36" s="13" t="str">
        <f>Clean!E6</f>
        <v/>
      </c>
      <c r="F36" s="13" t="str">
        <f>Clean!F6</f>
        <v/>
      </c>
      <c r="G36" s="13" t="str">
        <f>Clean!G6</f>
        <v/>
      </c>
      <c r="H36" s="13" t="str">
        <f>Clean!H6</f>
        <v/>
      </c>
      <c r="I36" s="13" t="str">
        <f>Clean!I6</f>
        <v>O</v>
      </c>
      <c r="J36" s="13" t="str">
        <f>Clean!J6</f>
        <v>O</v>
      </c>
      <c r="K36" s="13" t="str">
        <f>Clean!K6</f>
        <v>O</v>
      </c>
      <c r="L36" s="13" t="str">
        <f>Clean!L6</f>
        <v/>
      </c>
      <c r="M36" s="13" t="str">
        <f>Clean!M6</f>
        <v/>
      </c>
      <c r="N36" s="13" t="str">
        <f>Clean!N6</f>
        <v/>
      </c>
      <c r="O36" s="13" t="str">
        <f>Clean!O6</f>
        <v/>
      </c>
      <c r="P36" s="13" t="str">
        <f>Clean!P6</f>
        <v>O</v>
      </c>
      <c r="Q36" s="13" t="str">
        <f>Clean!Q6</f>
        <v>O</v>
      </c>
      <c r="R36" s="13" t="str">
        <f>Clean!R6</f>
        <v>O</v>
      </c>
      <c r="S36" s="13" t="str">
        <f>Clean!S6</f>
        <v/>
      </c>
      <c r="T36" s="13" t="str">
        <f>Clean!T6</f>
        <v/>
      </c>
      <c r="U36" s="13" t="str">
        <f>Clean!U6</f>
        <v/>
      </c>
      <c r="V36" s="13" t="str">
        <f>Clean!V6</f>
        <v/>
      </c>
      <c r="W36" s="13" t="str">
        <f>Clean!W6</f>
        <v>O</v>
      </c>
      <c r="X36" s="13" t="str">
        <f>Clean!X6</f>
        <v>O</v>
      </c>
      <c r="Y36" s="13" t="str">
        <f>Clean!Y6</f>
        <v>O</v>
      </c>
      <c r="Z36" s="13" t="str">
        <f>Clean!Z6</f>
        <v/>
      </c>
      <c r="AA36" s="13" t="str">
        <f>Clean!AA6</f>
        <v/>
      </c>
      <c r="AB36" s="13" t="str">
        <f>Clean!AB6</f>
        <v/>
      </c>
      <c r="AC36" s="13" t="str">
        <f>Clean!AC6</f>
        <v/>
      </c>
      <c r="AD36" s="13" t="str">
        <f>Clean!AD6</f>
        <v/>
      </c>
      <c r="AE36" s="13" t="str">
        <f>Clean!AE6</f>
        <v/>
      </c>
      <c r="AF36" s="13" t="str">
        <f>Clean!AF6</f>
        <v/>
      </c>
      <c r="AG36" s="13" t="str">
        <f>Clean!AG6</f>
        <v/>
      </c>
    </row>
    <row r="37" spans="1:35" ht="18" x14ac:dyDescent="0.2">
      <c r="A37" s="21"/>
      <c r="B37" s="18" t="s">
        <v>6</v>
      </c>
      <c r="C37" s="19" t="s">
        <v>46</v>
      </c>
      <c r="D37" s="19" t="s">
        <v>46</v>
      </c>
      <c r="E37" s="19" t="s">
        <v>46</v>
      </c>
      <c r="F37" s="19" t="s">
        <v>46</v>
      </c>
      <c r="G37" s="19" t="s">
        <v>46</v>
      </c>
      <c r="H37" s="19" t="s">
        <v>46</v>
      </c>
      <c r="I37" s="19" t="s">
        <v>46</v>
      </c>
      <c r="J37" s="19" t="s">
        <v>46</v>
      </c>
      <c r="K37" s="19" t="s">
        <v>46</v>
      </c>
      <c r="L37" s="19" t="s">
        <v>46</v>
      </c>
      <c r="M37" s="19" t="s">
        <v>46</v>
      </c>
      <c r="N37" s="19" t="s">
        <v>46</v>
      </c>
      <c r="O37" s="19" t="s">
        <v>46</v>
      </c>
      <c r="P37" s="19" t="s">
        <v>46</v>
      </c>
      <c r="Q37" s="19" t="s">
        <v>46</v>
      </c>
      <c r="R37" s="19" t="s">
        <v>46</v>
      </c>
      <c r="S37" s="19" t="s">
        <v>46</v>
      </c>
      <c r="T37" s="19" t="s">
        <v>46</v>
      </c>
      <c r="U37" s="19" t="s">
        <v>46</v>
      </c>
      <c r="V37" s="19" t="s">
        <v>46</v>
      </c>
      <c r="W37" s="19" t="s">
        <v>46</v>
      </c>
      <c r="X37" s="19" t="s">
        <v>46</v>
      </c>
      <c r="Y37" s="19" t="s">
        <v>46</v>
      </c>
      <c r="Z37" s="19" t="s">
        <v>46</v>
      </c>
      <c r="AA37" s="19" t="s">
        <v>46</v>
      </c>
      <c r="AB37" s="19" t="s">
        <v>46</v>
      </c>
      <c r="AC37" s="19" t="s">
        <v>46</v>
      </c>
      <c r="AD37" s="19" t="s">
        <v>46</v>
      </c>
      <c r="AE37" s="19" t="s">
        <v>46</v>
      </c>
      <c r="AF37" s="19" t="s">
        <v>46</v>
      </c>
      <c r="AG37" s="19" t="s">
        <v>46</v>
      </c>
    </row>
    <row r="38" spans="1:35" ht="18" x14ac:dyDescent="0.2">
      <c r="A38" s="21"/>
      <c r="B38" s="18" t="s">
        <v>45</v>
      </c>
      <c r="C38" s="19" t="s">
        <v>46</v>
      </c>
      <c r="D38" s="19" t="s">
        <v>46</v>
      </c>
      <c r="E38" s="19" t="s">
        <v>46</v>
      </c>
      <c r="F38" s="19" t="s">
        <v>46</v>
      </c>
      <c r="G38" s="19" t="s">
        <v>46</v>
      </c>
      <c r="H38" s="19" t="s">
        <v>46</v>
      </c>
      <c r="I38" s="19" t="s">
        <v>46</v>
      </c>
      <c r="J38" s="19" t="s">
        <v>46</v>
      </c>
      <c r="K38" s="19" t="s">
        <v>46</v>
      </c>
      <c r="L38" s="19" t="s">
        <v>46</v>
      </c>
      <c r="M38" s="19" t="s">
        <v>46</v>
      </c>
      <c r="N38" s="19" t="s">
        <v>46</v>
      </c>
      <c r="O38" s="19" t="s">
        <v>46</v>
      </c>
      <c r="P38" s="19" t="s">
        <v>46</v>
      </c>
      <c r="Q38" s="19" t="s">
        <v>46</v>
      </c>
      <c r="R38" s="19" t="s">
        <v>46</v>
      </c>
      <c r="S38" s="19" t="s">
        <v>46</v>
      </c>
      <c r="T38" s="19" t="s">
        <v>46</v>
      </c>
      <c r="U38" s="19" t="s">
        <v>46</v>
      </c>
      <c r="V38" s="19" t="s">
        <v>46</v>
      </c>
      <c r="W38" s="19" t="s">
        <v>46</v>
      </c>
      <c r="X38" s="19" t="s">
        <v>46</v>
      </c>
      <c r="Y38" s="19" t="s">
        <v>46</v>
      </c>
      <c r="Z38" s="19" t="s">
        <v>46</v>
      </c>
      <c r="AA38" s="19" t="s">
        <v>46</v>
      </c>
      <c r="AB38" s="19" t="s">
        <v>46</v>
      </c>
      <c r="AC38" s="19" t="s">
        <v>46</v>
      </c>
      <c r="AD38" s="19" t="s">
        <v>46</v>
      </c>
      <c r="AE38" s="19" t="s">
        <v>46</v>
      </c>
      <c r="AF38" s="19" t="s">
        <v>46</v>
      </c>
      <c r="AG38" s="19" t="s">
        <v>46</v>
      </c>
    </row>
    <row r="39" spans="1:35" ht="18" x14ac:dyDescent="0.2">
      <c r="A39" s="21" t="s">
        <v>36</v>
      </c>
      <c r="B39" s="18" t="s">
        <v>5</v>
      </c>
      <c r="C39" s="19" t="str">
        <f>C36</f>
        <v>O</v>
      </c>
      <c r="D39" s="19" t="str">
        <f t="shared" ref="D39:AG39" si="1">D36</f>
        <v/>
      </c>
      <c r="E39" s="19" t="str">
        <f t="shared" si="1"/>
        <v/>
      </c>
      <c r="F39" s="19" t="str">
        <f t="shared" si="1"/>
        <v/>
      </c>
      <c r="G39" s="19" t="str">
        <f t="shared" si="1"/>
        <v/>
      </c>
      <c r="H39" s="19" t="str">
        <f t="shared" si="1"/>
        <v/>
      </c>
      <c r="I39" s="19" t="str">
        <f t="shared" si="1"/>
        <v>O</v>
      </c>
      <c r="J39" s="19" t="str">
        <f t="shared" si="1"/>
        <v>O</v>
      </c>
      <c r="K39" s="19" t="str">
        <f t="shared" si="1"/>
        <v>O</v>
      </c>
      <c r="L39" s="19" t="str">
        <f t="shared" si="1"/>
        <v/>
      </c>
      <c r="M39" s="19" t="str">
        <f t="shared" si="1"/>
        <v/>
      </c>
      <c r="N39" s="19" t="str">
        <f t="shared" si="1"/>
        <v/>
      </c>
      <c r="O39" s="19" t="str">
        <f t="shared" si="1"/>
        <v/>
      </c>
      <c r="P39" s="19" t="str">
        <f t="shared" si="1"/>
        <v>O</v>
      </c>
      <c r="Q39" s="19" t="str">
        <f t="shared" si="1"/>
        <v>O</v>
      </c>
      <c r="R39" s="19" t="str">
        <f t="shared" si="1"/>
        <v>O</v>
      </c>
      <c r="S39" s="19" t="str">
        <f t="shared" si="1"/>
        <v/>
      </c>
      <c r="T39" s="19" t="str">
        <f t="shared" si="1"/>
        <v/>
      </c>
      <c r="U39" s="19" t="str">
        <f t="shared" si="1"/>
        <v/>
      </c>
      <c r="V39" s="19" t="str">
        <f t="shared" si="1"/>
        <v/>
      </c>
      <c r="W39" s="19" t="str">
        <f t="shared" si="1"/>
        <v>O</v>
      </c>
      <c r="X39" s="19" t="str">
        <f t="shared" si="1"/>
        <v>O</v>
      </c>
      <c r="Y39" s="19" t="str">
        <f t="shared" si="1"/>
        <v>O</v>
      </c>
      <c r="Z39" s="19" t="str">
        <f t="shared" si="1"/>
        <v/>
      </c>
      <c r="AA39" s="19" t="str">
        <f t="shared" si="1"/>
        <v/>
      </c>
      <c r="AB39" s="19" t="str">
        <f t="shared" si="1"/>
        <v/>
      </c>
      <c r="AC39" s="19" t="str">
        <f t="shared" si="1"/>
        <v/>
      </c>
      <c r="AD39" s="19" t="str">
        <f t="shared" si="1"/>
        <v/>
      </c>
      <c r="AE39" s="19" t="str">
        <f t="shared" si="1"/>
        <v/>
      </c>
      <c r="AF39" s="19" t="str">
        <f t="shared" si="1"/>
        <v/>
      </c>
      <c r="AG39" s="19" t="str">
        <f t="shared" si="1"/>
        <v/>
      </c>
    </row>
    <row r="40" spans="1:35" ht="18" x14ac:dyDescent="0.2">
      <c r="A40" s="21"/>
      <c r="B40" s="18" t="s">
        <v>6</v>
      </c>
      <c r="C40" s="19" t="s">
        <v>46</v>
      </c>
      <c r="D40" s="19" t="s">
        <v>46</v>
      </c>
      <c r="E40" s="19" t="s">
        <v>46</v>
      </c>
      <c r="F40" s="19" t="s">
        <v>46</v>
      </c>
      <c r="G40" s="19" t="s">
        <v>46</v>
      </c>
      <c r="H40" s="19" t="s">
        <v>46</v>
      </c>
      <c r="I40" s="19" t="s">
        <v>46</v>
      </c>
      <c r="J40" s="19" t="s">
        <v>46</v>
      </c>
      <c r="K40" s="19" t="s">
        <v>46</v>
      </c>
      <c r="L40" s="19" t="s">
        <v>46</v>
      </c>
      <c r="M40" s="19" t="s">
        <v>46</v>
      </c>
      <c r="N40" s="19" t="s">
        <v>46</v>
      </c>
      <c r="O40" s="19" t="s">
        <v>46</v>
      </c>
      <c r="P40" s="19" t="s">
        <v>46</v>
      </c>
      <c r="Q40" s="19" t="s">
        <v>46</v>
      </c>
      <c r="R40" s="19" t="s">
        <v>46</v>
      </c>
      <c r="S40" s="19" t="s">
        <v>46</v>
      </c>
      <c r="T40" s="19" t="s">
        <v>46</v>
      </c>
      <c r="U40" s="19" t="s">
        <v>46</v>
      </c>
      <c r="V40" s="19" t="s">
        <v>46</v>
      </c>
      <c r="W40" s="19" t="s">
        <v>46</v>
      </c>
      <c r="X40" s="19" t="s">
        <v>46</v>
      </c>
      <c r="Y40" s="19" t="s">
        <v>46</v>
      </c>
      <c r="Z40" s="19" t="s">
        <v>46</v>
      </c>
      <c r="AA40" s="19" t="s">
        <v>46</v>
      </c>
      <c r="AB40" s="19" t="s">
        <v>46</v>
      </c>
      <c r="AC40" s="19" t="s">
        <v>46</v>
      </c>
      <c r="AD40" s="19" t="s">
        <v>46</v>
      </c>
      <c r="AE40" s="19" t="s">
        <v>46</v>
      </c>
      <c r="AF40" s="19" t="s">
        <v>46</v>
      </c>
      <c r="AG40" s="19" t="s">
        <v>46</v>
      </c>
    </row>
    <row r="41" spans="1:35" ht="18" x14ac:dyDescent="0.2">
      <c r="A41" s="21"/>
      <c r="B41" s="18" t="s">
        <v>45</v>
      </c>
      <c r="C41" s="19" t="s">
        <v>46</v>
      </c>
      <c r="D41" s="19" t="s">
        <v>46</v>
      </c>
      <c r="E41" s="19" t="s">
        <v>46</v>
      </c>
      <c r="F41" s="19" t="s">
        <v>46</v>
      </c>
      <c r="G41" s="19" t="s">
        <v>46</v>
      </c>
      <c r="H41" s="19" t="s">
        <v>46</v>
      </c>
      <c r="I41" s="19" t="s">
        <v>46</v>
      </c>
      <c r="J41" s="19" t="s">
        <v>46</v>
      </c>
      <c r="K41" s="19" t="s">
        <v>46</v>
      </c>
      <c r="L41" s="19" t="s">
        <v>46</v>
      </c>
      <c r="M41" s="19" t="s">
        <v>46</v>
      </c>
      <c r="N41" s="19" t="s">
        <v>46</v>
      </c>
      <c r="O41" s="19" t="s">
        <v>46</v>
      </c>
      <c r="P41" s="19" t="s">
        <v>46</v>
      </c>
      <c r="Q41" s="19" t="s">
        <v>46</v>
      </c>
      <c r="R41" s="19" t="s">
        <v>46</v>
      </c>
      <c r="S41" s="19" t="s">
        <v>46</v>
      </c>
      <c r="T41" s="19" t="s">
        <v>46</v>
      </c>
      <c r="U41" s="19" t="s">
        <v>46</v>
      </c>
      <c r="V41" s="19" t="s">
        <v>46</v>
      </c>
      <c r="W41" s="19" t="s">
        <v>46</v>
      </c>
      <c r="X41" s="19" t="s">
        <v>46</v>
      </c>
      <c r="Y41" s="19" t="s">
        <v>46</v>
      </c>
      <c r="Z41" s="19" t="s">
        <v>46</v>
      </c>
      <c r="AA41" s="19" t="s">
        <v>46</v>
      </c>
      <c r="AB41" s="19" t="s">
        <v>46</v>
      </c>
      <c r="AC41" s="19" t="s">
        <v>46</v>
      </c>
      <c r="AD41" s="19" t="s">
        <v>46</v>
      </c>
      <c r="AE41" s="19" t="s">
        <v>46</v>
      </c>
      <c r="AF41" s="19" t="s">
        <v>46</v>
      </c>
      <c r="AG41" s="19" t="s">
        <v>46</v>
      </c>
    </row>
    <row r="42" spans="1:35" ht="18" x14ac:dyDescent="0.2">
      <c r="A42" s="21" t="s">
        <v>37</v>
      </c>
      <c r="B42" s="18" t="s">
        <v>5</v>
      </c>
      <c r="C42" s="19" t="str">
        <f>C39</f>
        <v>O</v>
      </c>
      <c r="D42" s="19" t="str">
        <f t="shared" ref="D42:AG42" si="2">D39</f>
        <v/>
      </c>
      <c r="E42" s="19" t="str">
        <f t="shared" si="2"/>
        <v/>
      </c>
      <c r="F42" s="19" t="str">
        <f t="shared" si="2"/>
        <v/>
      </c>
      <c r="G42" s="19" t="str">
        <f t="shared" si="2"/>
        <v/>
      </c>
      <c r="H42" s="19" t="str">
        <f t="shared" si="2"/>
        <v/>
      </c>
      <c r="I42" s="19" t="str">
        <f t="shared" si="2"/>
        <v>O</v>
      </c>
      <c r="J42" s="19" t="str">
        <f t="shared" si="2"/>
        <v>O</v>
      </c>
      <c r="K42" s="19" t="str">
        <f t="shared" si="2"/>
        <v>O</v>
      </c>
      <c r="L42" s="19" t="str">
        <f t="shared" si="2"/>
        <v/>
      </c>
      <c r="M42" s="19" t="str">
        <f t="shared" si="2"/>
        <v/>
      </c>
      <c r="N42" s="19" t="str">
        <f t="shared" si="2"/>
        <v/>
      </c>
      <c r="O42" s="19" t="str">
        <f t="shared" si="2"/>
        <v/>
      </c>
      <c r="P42" s="19" t="str">
        <f t="shared" si="2"/>
        <v>O</v>
      </c>
      <c r="Q42" s="19" t="str">
        <f t="shared" si="2"/>
        <v>O</v>
      </c>
      <c r="R42" s="19" t="str">
        <f t="shared" si="2"/>
        <v>O</v>
      </c>
      <c r="S42" s="19" t="str">
        <f t="shared" si="2"/>
        <v/>
      </c>
      <c r="T42" s="19" t="str">
        <f t="shared" si="2"/>
        <v/>
      </c>
      <c r="U42" s="19" t="str">
        <f t="shared" si="2"/>
        <v/>
      </c>
      <c r="V42" s="19" t="str">
        <f t="shared" si="2"/>
        <v/>
      </c>
      <c r="W42" s="19" t="str">
        <f t="shared" si="2"/>
        <v>O</v>
      </c>
      <c r="X42" s="19" t="str">
        <f t="shared" si="2"/>
        <v>O</v>
      </c>
      <c r="Y42" s="19" t="str">
        <f t="shared" si="2"/>
        <v>O</v>
      </c>
      <c r="Z42" s="19" t="str">
        <f t="shared" si="2"/>
        <v/>
      </c>
      <c r="AA42" s="19" t="str">
        <f t="shared" si="2"/>
        <v/>
      </c>
      <c r="AB42" s="19" t="str">
        <f t="shared" si="2"/>
        <v/>
      </c>
      <c r="AC42" s="19" t="str">
        <f t="shared" si="2"/>
        <v/>
      </c>
      <c r="AD42" s="19" t="str">
        <f t="shared" si="2"/>
        <v/>
      </c>
      <c r="AE42" s="19" t="str">
        <f t="shared" si="2"/>
        <v/>
      </c>
      <c r="AF42" s="19" t="str">
        <f t="shared" si="2"/>
        <v/>
      </c>
      <c r="AG42" s="19" t="str">
        <f t="shared" si="2"/>
        <v/>
      </c>
    </row>
    <row r="43" spans="1:35" ht="18" x14ac:dyDescent="0.2">
      <c r="A43" s="21"/>
      <c r="B43" s="18" t="s">
        <v>6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spans="1:35" ht="18" x14ac:dyDescent="0.2">
      <c r="A44" s="21"/>
      <c r="B44" s="18" t="s">
        <v>45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5" ht="18" x14ac:dyDescent="0.2">
      <c r="A45" s="11" t="s">
        <v>0</v>
      </c>
      <c r="B45" s="12" t="s">
        <v>2</v>
      </c>
      <c r="C45" s="34" t="str">
        <f>C15</f>
        <v>เดือน สิงหาคม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</row>
    <row r="46" spans="1:35" ht="18" x14ac:dyDescent="0.2">
      <c r="A46" s="14" t="s">
        <v>1</v>
      </c>
      <c r="B46" s="15" t="s">
        <v>3</v>
      </c>
      <c r="C46" s="13">
        <f>C16</f>
        <v>1</v>
      </c>
      <c r="D46" s="13">
        <f t="shared" ref="D46:AF46" si="3">D16</f>
        <v>2</v>
      </c>
      <c r="E46" s="13">
        <f t="shared" si="3"/>
        <v>3</v>
      </c>
      <c r="F46" s="13">
        <f t="shared" si="3"/>
        <v>4</v>
      </c>
      <c r="G46" s="13">
        <f t="shared" si="3"/>
        <v>5</v>
      </c>
      <c r="H46" s="13">
        <f t="shared" si="3"/>
        <v>6</v>
      </c>
      <c r="I46" s="13">
        <f t="shared" si="3"/>
        <v>7</v>
      </c>
      <c r="J46" s="13">
        <f t="shared" si="3"/>
        <v>8</v>
      </c>
      <c r="K46" s="13">
        <f t="shared" si="3"/>
        <v>9</v>
      </c>
      <c r="L46" s="13">
        <f t="shared" si="3"/>
        <v>10</v>
      </c>
      <c r="M46" s="13">
        <f t="shared" si="3"/>
        <v>11</v>
      </c>
      <c r="N46" s="13">
        <f t="shared" si="3"/>
        <v>12</v>
      </c>
      <c r="O46" s="13">
        <f t="shared" si="3"/>
        <v>13</v>
      </c>
      <c r="P46" s="13">
        <f t="shared" si="3"/>
        <v>14</v>
      </c>
      <c r="Q46" s="13">
        <f t="shared" si="3"/>
        <v>15</v>
      </c>
      <c r="R46" s="13">
        <f t="shared" si="3"/>
        <v>16</v>
      </c>
      <c r="S46" s="13">
        <f t="shared" si="3"/>
        <v>17</v>
      </c>
      <c r="T46" s="13">
        <f t="shared" si="3"/>
        <v>18</v>
      </c>
      <c r="U46" s="13">
        <f t="shared" si="3"/>
        <v>19</v>
      </c>
      <c r="V46" s="13">
        <f t="shared" si="3"/>
        <v>20</v>
      </c>
      <c r="W46" s="13">
        <f t="shared" si="3"/>
        <v>21</v>
      </c>
      <c r="X46" s="13">
        <f t="shared" si="3"/>
        <v>22</v>
      </c>
      <c r="Y46" s="13">
        <f t="shared" si="3"/>
        <v>23</v>
      </c>
      <c r="Z46" s="13">
        <f t="shared" si="3"/>
        <v>24</v>
      </c>
      <c r="AA46" s="13">
        <f t="shared" si="3"/>
        <v>25</v>
      </c>
      <c r="AB46" s="13">
        <f t="shared" si="3"/>
        <v>26</v>
      </c>
      <c r="AC46" s="13">
        <f t="shared" si="3"/>
        <v>27</v>
      </c>
      <c r="AD46" s="13">
        <f t="shared" si="3"/>
        <v>28</v>
      </c>
      <c r="AE46" s="13">
        <f t="shared" si="3"/>
        <v>29</v>
      </c>
      <c r="AF46" s="13">
        <f t="shared" si="3"/>
        <v>30</v>
      </c>
      <c r="AG46" s="13">
        <f>AG16</f>
        <v>31</v>
      </c>
    </row>
    <row r="47" spans="1:35" ht="18" x14ac:dyDescent="0.2">
      <c r="A47" s="16"/>
      <c r="B47" s="17" t="s">
        <v>4</v>
      </c>
      <c r="C47" s="13">
        <f>Clean!C17</f>
        <v>0</v>
      </c>
      <c r="D47" s="13">
        <f>Clean!D17</f>
        <v>0</v>
      </c>
      <c r="E47" s="13">
        <f>Clean!E17</f>
        <v>2</v>
      </c>
      <c r="F47" s="13">
        <f>Clean!F17</f>
        <v>2</v>
      </c>
      <c r="G47" s="13">
        <f>Clean!G17</f>
        <v>2</v>
      </c>
      <c r="H47" s="13">
        <f>Clean!H17</f>
        <v>2</v>
      </c>
      <c r="I47" s="13">
        <f>Clean!I17</f>
        <v>2</v>
      </c>
      <c r="J47" s="13">
        <f>Clean!J17</f>
        <v>0</v>
      </c>
      <c r="K47" s="13">
        <f>Clean!K17</f>
        <v>0</v>
      </c>
      <c r="L47" s="13">
        <f>Clean!L17</f>
        <v>1</v>
      </c>
      <c r="M47" s="13">
        <f>Clean!M17</f>
        <v>1</v>
      </c>
      <c r="N47" s="13">
        <f>Clean!N17</f>
        <v>1</v>
      </c>
      <c r="O47" s="13">
        <f>Clean!O17</f>
        <v>1</v>
      </c>
      <c r="P47" s="13">
        <f>Clean!P17</f>
        <v>1</v>
      </c>
      <c r="Q47" s="13">
        <f>Clean!Q17</f>
        <v>0</v>
      </c>
      <c r="R47" s="13">
        <f>Clean!R17</f>
        <v>0</v>
      </c>
      <c r="S47" s="13">
        <f>Clean!S17</f>
        <v>2</v>
      </c>
      <c r="T47" s="13">
        <f>Clean!T17</f>
        <v>2</v>
      </c>
      <c r="U47" s="13">
        <f>Clean!U17</f>
        <v>2</v>
      </c>
      <c r="V47" s="13">
        <f>Clean!V17</f>
        <v>2</v>
      </c>
      <c r="W47" s="13">
        <f>Clean!W17</f>
        <v>2</v>
      </c>
      <c r="X47" s="13">
        <f>Clean!X17</f>
        <v>0</v>
      </c>
      <c r="Y47" s="13">
        <f>Clean!Y17</f>
        <v>0</v>
      </c>
      <c r="Z47" s="13">
        <f>Clean!Z17</f>
        <v>1</v>
      </c>
      <c r="AA47" s="13">
        <f>Clean!AA17</f>
        <v>1</v>
      </c>
      <c r="AB47" s="13">
        <f>Clean!AB17</f>
        <v>1</v>
      </c>
      <c r="AC47" s="13">
        <f>Clean!AC17</f>
        <v>1</v>
      </c>
      <c r="AD47" s="13">
        <f>Clean!AD17</f>
        <v>1</v>
      </c>
      <c r="AE47" s="13">
        <f>Clean!AE17</f>
        <v>0</v>
      </c>
      <c r="AF47" s="13">
        <f>Clean!AF17</f>
        <v>0</v>
      </c>
      <c r="AG47" s="13">
        <f>Clean!AG17</f>
        <v>2</v>
      </c>
      <c r="AI47" t="s">
        <v>46</v>
      </c>
    </row>
    <row r="48" spans="1:35" ht="18.75" customHeight="1" x14ac:dyDescent="0.2">
      <c r="A48" s="21" t="str">
        <f>IF(A36="","",A36)</f>
        <v>บันทึกความดันห้อง (เกณฑ์ 0.08-0.12) (ทุกวันที่บรรจุ)</v>
      </c>
      <c r="B48" s="18" t="s">
        <v>5</v>
      </c>
      <c r="C48" s="13" t="str">
        <f>Clean!C18</f>
        <v/>
      </c>
      <c r="D48" s="13" t="str">
        <f>Clean!D18</f>
        <v/>
      </c>
      <c r="E48" s="13" t="str">
        <f>Clean!E18</f>
        <v/>
      </c>
      <c r="F48" s="13" t="str">
        <f>Clean!F18</f>
        <v>O</v>
      </c>
      <c r="G48" s="13" t="str">
        <f>Clean!G18</f>
        <v>O</v>
      </c>
      <c r="H48" s="13" t="str">
        <f>Clean!H18</f>
        <v>O</v>
      </c>
      <c r="I48" s="13" t="str">
        <f>Clean!I18</f>
        <v/>
      </c>
      <c r="J48" s="13" t="str">
        <f>Clean!J18</f>
        <v/>
      </c>
      <c r="K48" s="13" t="str">
        <f>Clean!K18</f>
        <v/>
      </c>
      <c r="L48" s="13" t="str">
        <f>Clean!L18</f>
        <v/>
      </c>
      <c r="M48" s="13" t="str">
        <f>Clean!M18</f>
        <v/>
      </c>
      <c r="N48" s="13" t="str">
        <f>Clean!N18</f>
        <v/>
      </c>
      <c r="O48" s="13" t="str">
        <f>Clean!O18</f>
        <v>O</v>
      </c>
      <c r="P48" s="13" t="str">
        <f>Clean!P18</f>
        <v>O</v>
      </c>
      <c r="Q48" s="13" t="str">
        <f>Clean!Q18</f>
        <v/>
      </c>
      <c r="R48" s="13" t="str">
        <f>Clean!R18</f>
        <v/>
      </c>
      <c r="S48" s="13" t="str">
        <f>Clean!S18</f>
        <v/>
      </c>
      <c r="T48" s="13" t="str">
        <f>Clean!T18</f>
        <v>O</v>
      </c>
      <c r="U48" s="13" t="str">
        <f>Clean!U18</f>
        <v>O</v>
      </c>
      <c r="V48" s="13" t="str">
        <f>Clean!V18</f>
        <v>O</v>
      </c>
      <c r="W48" s="13" t="str">
        <f>Clean!W18</f>
        <v/>
      </c>
      <c r="X48" s="13" t="str">
        <f>Clean!X18</f>
        <v/>
      </c>
      <c r="Y48" s="13" t="str">
        <f>Clean!Y18</f>
        <v/>
      </c>
      <c r="Z48" s="13" t="str">
        <f>Clean!Z18</f>
        <v/>
      </c>
      <c r="AA48" s="13" t="str">
        <f>Clean!AA18</f>
        <v>O</v>
      </c>
      <c r="AB48" s="13" t="str">
        <f>Clean!AB18</f>
        <v>O</v>
      </c>
      <c r="AC48" s="13" t="str">
        <f>Clean!AC18</f>
        <v/>
      </c>
      <c r="AD48" s="13" t="str">
        <f>Clean!AD18</f>
        <v/>
      </c>
      <c r="AE48" s="13" t="str">
        <f>Clean!AE18</f>
        <v/>
      </c>
      <c r="AF48" s="13" t="str">
        <f>Clean!AF18</f>
        <v/>
      </c>
      <c r="AG48" s="13" t="str">
        <f>Clean!AG18</f>
        <v/>
      </c>
    </row>
    <row r="49" spans="1:33" ht="18" x14ac:dyDescent="0.2">
      <c r="A49" s="21"/>
      <c r="B49" s="18" t="s">
        <v>6</v>
      </c>
      <c r="C49" s="19" t="s">
        <v>46</v>
      </c>
      <c r="D49" s="19" t="s">
        <v>46</v>
      </c>
      <c r="E49" s="19" t="s">
        <v>46</v>
      </c>
      <c r="F49" s="19" t="s">
        <v>46</v>
      </c>
      <c r="G49" s="19" t="s">
        <v>46</v>
      </c>
      <c r="H49" s="19" t="s">
        <v>46</v>
      </c>
      <c r="I49" s="19" t="s">
        <v>46</v>
      </c>
      <c r="J49" s="19" t="s">
        <v>46</v>
      </c>
      <c r="K49" s="19" t="s">
        <v>46</v>
      </c>
      <c r="L49" s="19" t="s">
        <v>46</v>
      </c>
      <c r="M49" s="19" t="s">
        <v>46</v>
      </c>
      <c r="N49" s="19" t="s">
        <v>46</v>
      </c>
      <c r="O49" s="19" t="s">
        <v>46</v>
      </c>
      <c r="P49" s="19" t="s">
        <v>46</v>
      </c>
      <c r="Q49" s="19" t="s">
        <v>46</v>
      </c>
      <c r="R49" s="19" t="s">
        <v>46</v>
      </c>
      <c r="S49" s="19" t="s">
        <v>46</v>
      </c>
      <c r="T49" s="19" t="s">
        <v>46</v>
      </c>
      <c r="U49" s="19" t="s">
        <v>46</v>
      </c>
      <c r="V49" s="19" t="s">
        <v>46</v>
      </c>
      <c r="W49" s="19" t="s">
        <v>46</v>
      </c>
      <c r="X49" s="19" t="s">
        <v>46</v>
      </c>
      <c r="Y49" s="19" t="s">
        <v>46</v>
      </c>
      <c r="Z49" s="19" t="s">
        <v>46</v>
      </c>
      <c r="AA49" s="19" t="s">
        <v>46</v>
      </c>
      <c r="AB49" s="19" t="s">
        <v>46</v>
      </c>
      <c r="AC49" s="19" t="s">
        <v>46</v>
      </c>
      <c r="AD49" s="19" t="s">
        <v>46</v>
      </c>
      <c r="AE49" s="19" t="s">
        <v>46</v>
      </c>
      <c r="AF49" s="19" t="s">
        <v>46</v>
      </c>
      <c r="AG49" s="19" t="s">
        <v>46</v>
      </c>
    </row>
    <row r="50" spans="1:33" ht="18" x14ac:dyDescent="0.2">
      <c r="A50" s="21"/>
      <c r="B50" s="18" t="s">
        <v>45</v>
      </c>
      <c r="C50" s="19" t="s">
        <v>46</v>
      </c>
      <c r="D50" s="19" t="s">
        <v>46</v>
      </c>
      <c r="E50" s="19" t="s">
        <v>46</v>
      </c>
      <c r="F50" s="19" t="s">
        <v>46</v>
      </c>
      <c r="G50" s="19" t="s">
        <v>46</v>
      </c>
      <c r="H50" s="19" t="s">
        <v>46</v>
      </c>
      <c r="I50" s="19" t="s">
        <v>46</v>
      </c>
      <c r="J50" s="19" t="s">
        <v>46</v>
      </c>
      <c r="K50" s="19" t="s">
        <v>46</v>
      </c>
      <c r="L50" s="19" t="s">
        <v>46</v>
      </c>
      <c r="M50" s="19" t="s">
        <v>46</v>
      </c>
      <c r="N50" s="19" t="s">
        <v>46</v>
      </c>
      <c r="O50" s="19" t="s">
        <v>46</v>
      </c>
      <c r="P50" s="19" t="s">
        <v>46</v>
      </c>
      <c r="Q50" s="19" t="s">
        <v>46</v>
      </c>
      <c r="R50" s="19" t="s">
        <v>46</v>
      </c>
      <c r="S50" s="19" t="s">
        <v>46</v>
      </c>
      <c r="T50" s="19" t="s">
        <v>46</v>
      </c>
      <c r="U50" s="19" t="s">
        <v>46</v>
      </c>
      <c r="V50" s="19" t="s">
        <v>46</v>
      </c>
      <c r="W50" s="19" t="s">
        <v>46</v>
      </c>
      <c r="X50" s="19" t="s">
        <v>46</v>
      </c>
      <c r="Y50" s="19" t="s">
        <v>46</v>
      </c>
      <c r="Z50" s="19" t="s">
        <v>46</v>
      </c>
      <c r="AA50" s="19" t="s">
        <v>46</v>
      </c>
      <c r="AB50" s="19" t="s">
        <v>46</v>
      </c>
      <c r="AC50" s="19" t="s">
        <v>46</v>
      </c>
      <c r="AD50" s="19" t="s">
        <v>46</v>
      </c>
      <c r="AE50" s="19" t="s">
        <v>46</v>
      </c>
      <c r="AF50" s="19" t="s">
        <v>46</v>
      </c>
      <c r="AG50" s="19" t="s">
        <v>46</v>
      </c>
    </row>
    <row r="51" spans="1:33" ht="18" x14ac:dyDescent="0.2">
      <c r="A51" s="21" t="str">
        <f>IF(A39="","",A39)</f>
        <v>บันทึกอุณหภูมิ (เกณฑ์ 18-24 C) (ทุกวันที่บรรจุ)</v>
      </c>
      <c r="B51" s="18" t="s">
        <v>5</v>
      </c>
      <c r="C51" s="19" t="str">
        <f>C48</f>
        <v/>
      </c>
      <c r="D51" s="19" t="str">
        <f t="shared" ref="D51:AG51" si="4">D48</f>
        <v/>
      </c>
      <c r="E51" s="19" t="str">
        <f t="shared" si="4"/>
        <v/>
      </c>
      <c r="F51" s="19" t="str">
        <f t="shared" si="4"/>
        <v>O</v>
      </c>
      <c r="G51" s="19" t="str">
        <f t="shared" si="4"/>
        <v>O</v>
      </c>
      <c r="H51" s="19" t="str">
        <f t="shared" si="4"/>
        <v>O</v>
      </c>
      <c r="I51" s="19" t="str">
        <f t="shared" si="4"/>
        <v/>
      </c>
      <c r="J51" s="19" t="str">
        <f t="shared" si="4"/>
        <v/>
      </c>
      <c r="K51" s="19" t="str">
        <f t="shared" si="4"/>
        <v/>
      </c>
      <c r="L51" s="19" t="str">
        <f t="shared" si="4"/>
        <v/>
      </c>
      <c r="M51" s="19" t="str">
        <f t="shared" si="4"/>
        <v/>
      </c>
      <c r="N51" s="19" t="str">
        <f t="shared" si="4"/>
        <v/>
      </c>
      <c r="O51" s="19" t="str">
        <f t="shared" si="4"/>
        <v>O</v>
      </c>
      <c r="P51" s="19" t="str">
        <f t="shared" si="4"/>
        <v>O</v>
      </c>
      <c r="Q51" s="19" t="str">
        <f t="shared" si="4"/>
        <v/>
      </c>
      <c r="R51" s="19" t="str">
        <f t="shared" si="4"/>
        <v/>
      </c>
      <c r="S51" s="19" t="str">
        <f t="shared" si="4"/>
        <v/>
      </c>
      <c r="T51" s="19" t="str">
        <f t="shared" si="4"/>
        <v>O</v>
      </c>
      <c r="U51" s="19" t="str">
        <f t="shared" si="4"/>
        <v>O</v>
      </c>
      <c r="V51" s="19" t="str">
        <f t="shared" si="4"/>
        <v>O</v>
      </c>
      <c r="W51" s="19" t="str">
        <f t="shared" si="4"/>
        <v/>
      </c>
      <c r="X51" s="19" t="str">
        <f t="shared" si="4"/>
        <v/>
      </c>
      <c r="Y51" s="19" t="str">
        <f t="shared" si="4"/>
        <v/>
      </c>
      <c r="Z51" s="19" t="str">
        <f t="shared" si="4"/>
        <v/>
      </c>
      <c r="AA51" s="19" t="str">
        <f t="shared" si="4"/>
        <v>O</v>
      </c>
      <c r="AB51" s="19" t="str">
        <f t="shared" si="4"/>
        <v>O</v>
      </c>
      <c r="AC51" s="19" t="str">
        <f t="shared" si="4"/>
        <v/>
      </c>
      <c r="AD51" s="19" t="str">
        <f t="shared" si="4"/>
        <v/>
      </c>
      <c r="AE51" s="19" t="str">
        <f t="shared" si="4"/>
        <v/>
      </c>
      <c r="AF51" s="19" t="str">
        <f t="shared" si="4"/>
        <v/>
      </c>
      <c r="AG51" s="19" t="str">
        <f t="shared" si="4"/>
        <v/>
      </c>
    </row>
    <row r="52" spans="1:33" ht="18" x14ac:dyDescent="0.2">
      <c r="A52" s="21"/>
      <c r="B52" s="18" t="s">
        <v>6</v>
      </c>
      <c r="C52" s="19" t="s">
        <v>46</v>
      </c>
      <c r="D52" s="19" t="s">
        <v>46</v>
      </c>
      <c r="E52" s="19" t="s">
        <v>46</v>
      </c>
      <c r="F52" s="19" t="s">
        <v>46</v>
      </c>
      <c r="G52" s="19" t="s">
        <v>46</v>
      </c>
      <c r="H52" s="19" t="s">
        <v>46</v>
      </c>
      <c r="I52" s="19" t="s">
        <v>46</v>
      </c>
      <c r="J52" s="19" t="s">
        <v>46</v>
      </c>
      <c r="K52" s="19" t="s">
        <v>46</v>
      </c>
      <c r="L52" s="19" t="s">
        <v>46</v>
      </c>
      <c r="M52" s="19" t="s">
        <v>46</v>
      </c>
      <c r="N52" s="19" t="s">
        <v>46</v>
      </c>
      <c r="O52" s="19" t="s">
        <v>46</v>
      </c>
      <c r="P52" s="19" t="s">
        <v>46</v>
      </c>
      <c r="Q52" s="19" t="s">
        <v>46</v>
      </c>
      <c r="R52" s="19" t="s">
        <v>46</v>
      </c>
      <c r="S52" s="19" t="s">
        <v>46</v>
      </c>
      <c r="T52" s="19" t="s">
        <v>46</v>
      </c>
      <c r="U52" s="19" t="s">
        <v>46</v>
      </c>
      <c r="V52" s="19" t="s">
        <v>46</v>
      </c>
      <c r="W52" s="19" t="s">
        <v>46</v>
      </c>
      <c r="X52" s="19" t="s">
        <v>46</v>
      </c>
      <c r="Y52" s="19" t="s">
        <v>46</v>
      </c>
      <c r="Z52" s="19" t="s">
        <v>46</v>
      </c>
      <c r="AA52" s="19" t="s">
        <v>46</v>
      </c>
      <c r="AB52" s="19" t="s">
        <v>46</v>
      </c>
      <c r="AC52" s="19" t="s">
        <v>46</v>
      </c>
      <c r="AD52" s="19" t="s">
        <v>46</v>
      </c>
      <c r="AE52" s="19" t="s">
        <v>46</v>
      </c>
      <c r="AF52" s="19" t="s">
        <v>46</v>
      </c>
      <c r="AG52" s="19" t="s">
        <v>46</v>
      </c>
    </row>
    <row r="53" spans="1:33" ht="18" x14ac:dyDescent="0.2">
      <c r="A53" s="21"/>
      <c r="B53" s="18" t="s">
        <v>45</v>
      </c>
      <c r="C53" s="19" t="s">
        <v>46</v>
      </c>
      <c r="D53" s="19" t="s">
        <v>46</v>
      </c>
      <c r="E53" s="19" t="s">
        <v>46</v>
      </c>
      <c r="F53" s="19" t="s">
        <v>46</v>
      </c>
      <c r="G53" s="19" t="s">
        <v>46</v>
      </c>
      <c r="H53" s="19" t="s">
        <v>46</v>
      </c>
      <c r="I53" s="19" t="s">
        <v>46</v>
      </c>
      <c r="J53" s="19" t="s">
        <v>46</v>
      </c>
      <c r="K53" s="19" t="s">
        <v>46</v>
      </c>
      <c r="L53" s="19" t="s">
        <v>46</v>
      </c>
      <c r="M53" s="19" t="s">
        <v>46</v>
      </c>
      <c r="N53" s="19" t="s">
        <v>46</v>
      </c>
      <c r="O53" s="19" t="s">
        <v>46</v>
      </c>
      <c r="P53" s="19" t="s">
        <v>46</v>
      </c>
      <c r="Q53" s="19" t="s">
        <v>46</v>
      </c>
      <c r="R53" s="19" t="s">
        <v>46</v>
      </c>
      <c r="S53" s="19" t="s">
        <v>46</v>
      </c>
      <c r="T53" s="19" t="s">
        <v>46</v>
      </c>
      <c r="U53" s="19" t="s">
        <v>46</v>
      </c>
      <c r="V53" s="19" t="s">
        <v>46</v>
      </c>
      <c r="W53" s="19" t="s">
        <v>46</v>
      </c>
      <c r="X53" s="19" t="s">
        <v>46</v>
      </c>
      <c r="Y53" s="19" t="s">
        <v>46</v>
      </c>
      <c r="Z53" s="19" t="s">
        <v>46</v>
      </c>
      <c r="AA53" s="19" t="s">
        <v>46</v>
      </c>
      <c r="AB53" s="19" t="s">
        <v>46</v>
      </c>
      <c r="AC53" s="19" t="s">
        <v>46</v>
      </c>
      <c r="AD53" s="19" t="s">
        <v>46</v>
      </c>
      <c r="AE53" s="19" t="s">
        <v>46</v>
      </c>
      <c r="AF53" s="19" t="s">
        <v>46</v>
      </c>
      <c r="AG53" s="19" t="s">
        <v>46</v>
      </c>
    </row>
    <row r="54" spans="1:33" ht="18" x14ac:dyDescent="0.2">
      <c r="A54" s="21" t="str">
        <f>IF(A42="","",A42)</f>
        <v>บันทึกความชื้นห้อง (เกณฑ์ 40-60%RH) (ทุกวันที่บรรจุ)</v>
      </c>
      <c r="B54" s="18" t="s">
        <v>5</v>
      </c>
      <c r="C54" s="19" t="str">
        <f>C51</f>
        <v/>
      </c>
      <c r="D54" s="19" t="str">
        <f t="shared" ref="D54:AG54" si="5">D51</f>
        <v/>
      </c>
      <c r="E54" s="19" t="str">
        <f t="shared" si="5"/>
        <v/>
      </c>
      <c r="F54" s="19" t="str">
        <f t="shared" si="5"/>
        <v>O</v>
      </c>
      <c r="G54" s="19" t="str">
        <f t="shared" si="5"/>
        <v>O</v>
      </c>
      <c r="H54" s="19" t="str">
        <f t="shared" si="5"/>
        <v>O</v>
      </c>
      <c r="I54" s="19" t="str">
        <f t="shared" si="5"/>
        <v/>
      </c>
      <c r="J54" s="19" t="str">
        <f t="shared" si="5"/>
        <v/>
      </c>
      <c r="K54" s="19" t="str">
        <f t="shared" si="5"/>
        <v/>
      </c>
      <c r="L54" s="19" t="str">
        <f t="shared" si="5"/>
        <v/>
      </c>
      <c r="M54" s="19" t="str">
        <f t="shared" si="5"/>
        <v/>
      </c>
      <c r="N54" s="19" t="str">
        <f t="shared" si="5"/>
        <v/>
      </c>
      <c r="O54" s="19" t="str">
        <f t="shared" si="5"/>
        <v>O</v>
      </c>
      <c r="P54" s="19" t="str">
        <f t="shared" si="5"/>
        <v>O</v>
      </c>
      <c r="Q54" s="19" t="str">
        <f t="shared" si="5"/>
        <v/>
      </c>
      <c r="R54" s="19" t="str">
        <f t="shared" si="5"/>
        <v/>
      </c>
      <c r="S54" s="19" t="str">
        <f t="shared" si="5"/>
        <v/>
      </c>
      <c r="T54" s="19" t="str">
        <f t="shared" si="5"/>
        <v>O</v>
      </c>
      <c r="U54" s="19" t="str">
        <f t="shared" si="5"/>
        <v>O</v>
      </c>
      <c r="V54" s="19" t="str">
        <f t="shared" si="5"/>
        <v>O</v>
      </c>
      <c r="W54" s="19" t="str">
        <f t="shared" si="5"/>
        <v/>
      </c>
      <c r="X54" s="19" t="str">
        <f t="shared" si="5"/>
        <v/>
      </c>
      <c r="Y54" s="19" t="str">
        <f t="shared" si="5"/>
        <v/>
      </c>
      <c r="Z54" s="19" t="str">
        <f t="shared" si="5"/>
        <v/>
      </c>
      <c r="AA54" s="19" t="str">
        <f t="shared" si="5"/>
        <v>O</v>
      </c>
      <c r="AB54" s="19" t="str">
        <f t="shared" si="5"/>
        <v>O</v>
      </c>
      <c r="AC54" s="19" t="str">
        <f t="shared" si="5"/>
        <v/>
      </c>
      <c r="AD54" s="19" t="str">
        <f t="shared" si="5"/>
        <v/>
      </c>
      <c r="AE54" s="19" t="str">
        <f t="shared" si="5"/>
        <v/>
      </c>
      <c r="AF54" s="19" t="str">
        <f t="shared" si="5"/>
        <v/>
      </c>
      <c r="AG54" s="19" t="str">
        <f t="shared" si="5"/>
        <v/>
      </c>
    </row>
    <row r="55" spans="1:33" ht="18" x14ac:dyDescent="0.2">
      <c r="A55" s="21"/>
      <c r="B55" s="18" t="s">
        <v>6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spans="1:33" ht="18" x14ac:dyDescent="0.2">
      <c r="A56" s="21"/>
      <c r="B56" s="18" t="s">
        <v>45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spans="1:33" ht="18" x14ac:dyDescent="0.4">
      <c r="A57" s="4" t="s">
        <v>13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22" t="s">
        <v>22</v>
      </c>
      <c r="X57" s="22"/>
      <c r="Y57" s="22"/>
      <c r="Z57" s="22"/>
      <c r="AA57" s="22"/>
      <c r="AB57" s="22"/>
      <c r="AC57" s="22"/>
      <c r="AD57" s="9"/>
      <c r="AE57" s="9"/>
      <c r="AF57" s="9"/>
      <c r="AG57" s="9"/>
    </row>
    <row r="58" spans="1:33" ht="18" x14ac:dyDescent="0.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 ht="18" x14ac:dyDescent="0.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3" t="s">
        <v>12</v>
      </c>
      <c r="Q59" s="23"/>
      <c r="R59" s="20" t="str">
        <f>IF(R29=0,"",R29)</f>
        <v>พีรวัส</v>
      </c>
      <c r="S59" s="20"/>
      <c r="T59" s="20"/>
      <c r="U59" s="23" t="s">
        <v>47</v>
      </c>
      <c r="V59" s="23"/>
      <c r="W59" s="20" t="str">
        <f>IF(W29=0,"",W29)</f>
        <v>วรพงศ์</v>
      </c>
      <c r="X59" s="20"/>
      <c r="Y59" s="20"/>
      <c r="Z59" s="7" t="s">
        <v>14</v>
      </c>
      <c r="AA59" s="24">
        <f>IF(AA29=0,"",AA29)</f>
        <v>244531</v>
      </c>
      <c r="AB59" s="20"/>
      <c r="AC59" s="20"/>
      <c r="AD59" s="8"/>
      <c r="AE59" s="20"/>
      <c r="AF59" s="20"/>
      <c r="AG59" s="20"/>
    </row>
    <row r="61" spans="1:33" ht="23.25" x14ac:dyDescent="0.5">
      <c r="A61" s="27" t="s">
        <v>49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</row>
    <row r="62" spans="1:33" s="1" customFormat="1" ht="21" x14ac:dyDescent="0.45">
      <c r="A62" s="5" t="s">
        <v>9</v>
      </c>
      <c r="B62" s="28" t="s">
        <v>7</v>
      </c>
      <c r="C62" s="28"/>
      <c r="D62" s="28"/>
      <c r="E62" s="28"/>
      <c r="F62" s="28"/>
      <c r="G62" s="28"/>
      <c r="H62" s="5" t="s">
        <v>7</v>
      </c>
      <c r="I62" s="28" t="s">
        <v>7</v>
      </c>
      <c r="J62" s="28"/>
      <c r="K62" s="28"/>
      <c r="L62" s="28"/>
      <c r="M62" s="29" t="s">
        <v>11</v>
      </c>
      <c r="N62" s="29"/>
      <c r="O62" s="28" t="s">
        <v>19</v>
      </c>
      <c r="P62" s="28"/>
      <c r="Q62" s="28"/>
      <c r="R62" s="28"/>
      <c r="S62" s="28"/>
      <c r="T62" s="5" t="s">
        <v>8</v>
      </c>
      <c r="U62" s="28">
        <f>U32</f>
        <v>2569</v>
      </c>
      <c r="V62" s="28"/>
      <c r="W62" s="29" t="s">
        <v>16</v>
      </c>
      <c r="X62" s="29"/>
      <c r="Y62" s="29"/>
      <c r="Z62" s="1" t="s">
        <v>34</v>
      </c>
    </row>
    <row r="63" spans="1:33" ht="18" x14ac:dyDescent="0.2">
      <c r="A63" s="11" t="s">
        <v>0</v>
      </c>
      <c r="B63" s="12" t="s">
        <v>2</v>
      </c>
      <c r="C63" s="34" t="str">
        <f>C33</f>
        <v>เดือน กรกฎาคม</v>
      </c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</row>
    <row r="64" spans="1:33" ht="18" x14ac:dyDescent="0.2">
      <c r="A64" s="14" t="s">
        <v>1</v>
      </c>
      <c r="B64" s="15" t="s">
        <v>3</v>
      </c>
      <c r="C64" s="13">
        <f>C34</f>
        <v>1</v>
      </c>
      <c r="D64" s="13">
        <f>D34</f>
        <v>2</v>
      </c>
      <c r="E64" s="13">
        <f t="shared" ref="E64:AG64" si="6">E34</f>
        <v>3</v>
      </c>
      <c r="F64" s="13">
        <f t="shared" si="6"/>
        <v>4</v>
      </c>
      <c r="G64" s="13">
        <f t="shared" si="6"/>
        <v>5</v>
      </c>
      <c r="H64" s="13">
        <f t="shared" si="6"/>
        <v>6</v>
      </c>
      <c r="I64" s="13">
        <f t="shared" si="6"/>
        <v>7</v>
      </c>
      <c r="J64" s="13">
        <f t="shared" si="6"/>
        <v>8</v>
      </c>
      <c r="K64" s="13">
        <f t="shared" si="6"/>
        <v>9</v>
      </c>
      <c r="L64" s="13">
        <f t="shared" si="6"/>
        <v>10</v>
      </c>
      <c r="M64" s="13">
        <f t="shared" si="6"/>
        <v>11</v>
      </c>
      <c r="N64" s="13">
        <f t="shared" si="6"/>
        <v>12</v>
      </c>
      <c r="O64" s="13">
        <f t="shared" si="6"/>
        <v>13</v>
      </c>
      <c r="P64" s="13">
        <f t="shared" si="6"/>
        <v>14</v>
      </c>
      <c r="Q64" s="13">
        <f t="shared" si="6"/>
        <v>15</v>
      </c>
      <c r="R64" s="13">
        <f t="shared" si="6"/>
        <v>16</v>
      </c>
      <c r="S64" s="13">
        <f t="shared" si="6"/>
        <v>17</v>
      </c>
      <c r="T64" s="13">
        <f t="shared" si="6"/>
        <v>18</v>
      </c>
      <c r="U64" s="13">
        <f t="shared" si="6"/>
        <v>19</v>
      </c>
      <c r="V64" s="13">
        <f t="shared" si="6"/>
        <v>20</v>
      </c>
      <c r="W64" s="13">
        <f t="shared" si="6"/>
        <v>21</v>
      </c>
      <c r="X64" s="13">
        <f t="shared" si="6"/>
        <v>22</v>
      </c>
      <c r="Y64" s="13">
        <f t="shared" si="6"/>
        <v>23</v>
      </c>
      <c r="Z64" s="13">
        <f t="shared" si="6"/>
        <v>24</v>
      </c>
      <c r="AA64" s="13">
        <f t="shared" si="6"/>
        <v>25</v>
      </c>
      <c r="AB64" s="13">
        <f t="shared" si="6"/>
        <v>26</v>
      </c>
      <c r="AC64" s="13">
        <f t="shared" si="6"/>
        <v>27</v>
      </c>
      <c r="AD64" s="13">
        <f t="shared" si="6"/>
        <v>28</v>
      </c>
      <c r="AE64" s="13">
        <f t="shared" si="6"/>
        <v>29</v>
      </c>
      <c r="AF64" s="13">
        <f t="shared" si="6"/>
        <v>30</v>
      </c>
      <c r="AG64" s="13">
        <f t="shared" si="6"/>
        <v>31</v>
      </c>
    </row>
    <row r="65" spans="1:33" ht="18" x14ac:dyDescent="0.2">
      <c r="A65" s="16"/>
      <c r="B65" s="17" t="s">
        <v>4</v>
      </c>
      <c r="C65" s="13">
        <f>C35</f>
        <v>1</v>
      </c>
      <c r="D65" s="13">
        <f t="shared" ref="D65:AG65" si="7">D35</f>
        <v>1</v>
      </c>
      <c r="E65" s="13">
        <f t="shared" si="7"/>
        <v>1</v>
      </c>
      <c r="F65" s="13">
        <f t="shared" si="7"/>
        <v>0</v>
      </c>
      <c r="G65" s="13">
        <f t="shared" si="7"/>
        <v>0</v>
      </c>
      <c r="H65" s="13">
        <f t="shared" si="7"/>
        <v>2</v>
      </c>
      <c r="I65" s="13">
        <f t="shared" si="7"/>
        <v>2</v>
      </c>
      <c r="J65" s="13">
        <f t="shared" si="7"/>
        <v>2</v>
      </c>
      <c r="K65" s="13">
        <f t="shared" si="7"/>
        <v>2</v>
      </c>
      <c r="L65" s="13">
        <f t="shared" si="7"/>
        <v>2</v>
      </c>
      <c r="M65" s="13">
        <f t="shared" si="7"/>
        <v>0</v>
      </c>
      <c r="N65" s="13">
        <f t="shared" si="7"/>
        <v>0</v>
      </c>
      <c r="O65" s="13">
        <f t="shared" si="7"/>
        <v>1</v>
      </c>
      <c r="P65" s="13">
        <f t="shared" si="7"/>
        <v>1</v>
      </c>
      <c r="Q65" s="13">
        <f t="shared" si="7"/>
        <v>1</v>
      </c>
      <c r="R65" s="13">
        <f t="shared" si="7"/>
        <v>1</v>
      </c>
      <c r="S65" s="13">
        <f t="shared" si="7"/>
        <v>1</v>
      </c>
      <c r="T65" s="13">
        <f t="shared" si="7"/>
        <v>0</v>
      </c>
      <c r="U65" s="13">
        <f t="shared" si="7"/>
        <v>0</v>
      </c>
      <c r="V65" s="13">
        <f t="shared" si="7"/>
        <v>2</v>
      </c>
      <c r="W65" s="13">
        <f t="shared" si="7"/>
        <v>2</v>
      </c>
      <c r="X65" s="13">
        <f t="shared" si="7"/>
        <v>2</v>
      </c>
      <c r="Y65" s="13">
        <f t="shared" si="7"/>
        <v>2</v>
      </c>
      <c r="Z65" s="13">
        <f t="shared" si="7"/>
        <v>2</v>
      </c>
      <c r="AA65" s="13">
        <f t="shared" si="7"/>
        <v>0</v>
      </c>
      <c r="AB65" s="13">
        <f t="shared" si="7"/>
        <v>0</v>
      </c>
      <c r="AC65" s="13">
        <f t="shared" si="7"/>
        <v>1</v>
      </c>
      <c r="AD65" s="13">
        <f t="shared" si="7"/>
        <v>1</v>
      </c>
      <c r="AE65" s="13">
        <f t="shared" si="7"/>
        <v>1</v>
      </c>
      <c r="AF65" s="13">
        <f t="shared" si="7"/>
        <v>1</v>
      </c>
      <c r="AG65" s="13">
        <f t="shared" si="7"/>
        <v>1</v>
      </c>
    </row>
    <row r="66" spans="1:33" ht="18.75" customHeight="1" x14ac:dyDescent="0.2">
      <c r="A66" s="21" t="s">
        <v>38</v>
      </c>
      <c r="B66" s="18" t="s">
        <v>5</v>
      </c>
      <c r="C66" s="13" t="str">
        <f>C36</f>
        <v>O</v>
      </c>
      <c r="D66" s="13" t="str">
        <f t="shared" ref="D66:AG66" si="8">D36</f>
        <v/>
      </c>
      <c r="E66" s="13" t="str">
        <f t="shared" si="8"/>
        <v/>
      </c>
      <c r="F66" s="13" t="str">
        <f t="shared" si="8"/>
        <v/>
      </c>
      <c r="G66" s="13" t="str">
        <f t="shared" si="8"/>
        <v/>
      </c>
      <c r="H66" s="13" t="str">
        <f t="shared" si="8"/>
        <v/>
      </c>
      <c r="I66" s="13" t="str">
        <f t="shared" si="8"/>
        <v>O</v>
      </c>
      <c r="J66" s="13" t="str">
        <f t="shared" si="8"/>
        <v>O</v>
      </c>
      <c r="K66" s="13" t="str">
        <f t="shared" si="8"/>
        <v>O</v>
      </c>
      <c r="L66" s="13" t="str">
        <f t="shared" si="8"/>
        <v/>
      </c>
      <c r="M66" s="13" t="str">
        <f t="shared" si="8"/>
        <v/>
      </c>
      <c r="N66" s="13" t="str">
        <f t="shared" si="8"/>
        <v/>
      </c>
      <c r="O66" s="13" t="str">
        <f t="shared" si="8"/>
        <v/>
      </c>
      <c r="P66" s="13" t="str">
        <f t="shared" si="8"/>
        <v>O</v>
      </c>
      <c r="Q66" s="13" t="str">
        <f t="shared" si="8"/>
        <v>O</v>
      </c>
      <c r="R66" s="13" t="str">
        <f t="shared" si="8"/>
        <v>O</v>
      </c>
      <c r="S66" s="13" t="str">
        <f t="shared" si="8"/>
        <v/>
      </c>
      <c r="T66" s="13" t="str">
        <f t="shared" si="8"/>
        <v/>
      </c>
      <c r="U66" s="13" t="str">
        <f t="shared" si="8"/>
        <v/>
      </c>
      <c r="V66" s="13" t="str">
        <f t="shared" si="8"/>
        <v/>
      </c>
      <c r="W66" s="13" t="str">
        <f t="shared" si="8"/>
        <v>O</v>
      </c>
      <c r="X66" s="13" t="str">
        <f t="shared" si="8"/>
        <v>O</v>
      </c>
      <c r="Y66" s="13" t="str">
        <f t="shared" si="8"/>
        <v>O</v>
      </c>
      <c r="Z66" s="13" t="str">
        <f t="shared" si="8"/>
        <v/>
      </c>
      <c r="AA66" s="13" t="str">
        <f t="shared" si="8"/>
        <v/>
      </c>
      <c r="AB66" s="13" t="str">
        <f t="shared" si="8"/>
        <v/>
      </c>
      <c r="AC66" s="13" t="str">
        <f t="shared" si="8"/>
        <v/>
      </c>
      <c r="AD66" s="13" t="str">
        <f t="shared" si="8"/>
        <v/>
      </c>
      <c r="AE66" s="13" t="str">
        <f t="shared" si="8"/>
        <v/>
      </c>
      <c r="AF66" s="13" t="str">
        <f t="shared" si="8"/>
        <v/>
      </c>
      <c r="AG66" s="13" t="str">
        <f t="shared" si="8"/>
        <v/>
      </c>
    </row>
    <row r="67" spans="1:33" ht="18" x14ac:dyDescent="0.2">
      <c r="A67" s="21"/>
      <c r="B67" s="18" t="s">
        <v>6</v>
      </c>
      <c r="C67" s="19" t="s">
        <v>46</v>
      </c>
      <c r="D67" s="19" t="s">
        <v>46</v>
      </c>
      <c r="E67" s="19" t="s">
        <v>46</v>
      </c>
      <c r="F67" s="19" t="s">
        <v>46</v>
      </c>
      <c r="G67" s="19" t="s">
        <v>46</v>
      </c>
      <c r="H67" s="19" t="s">
        <v>46</v>
      </c>
      <c r="I67" s="19" t="s">
        <v>46</v>
      </c>
      <c r="J67" s="19" t="s">
        <v>46</v>
      </c>
      <c r="K67" s="19" t="s">
        <v>46</v>
      </c>
      <c r="L67" s="19" t="s">
        <v>46</v>
      </c>
      <c r="M67" s="19" t="s">
        <v>46</v>
      </c>
      <c r="N67" s="19" t="s">
        <v>46</v>
      </c>
      <c r="O67" s="19" t="s">
        <v>46</v>
      </c>
      <c r="P67" s="19" t="s">
        <v>46</v>
      </c>
      <c r="Q67" s="19" t="s">
        <v>46</v>
      </c>
      <c r="R67" s="19" t="s">
        <v>46</v>
      </c>
      <c r="S67" s="19" t="s">
        <v>46</v>
      </c>
      <c r="T67" s="19" t="s">
        <v>46</v>
      </c>
      <c r="U67" s="19" t="s">
        <v>46</v>
      </c>
      <c r="V67" s="19" t="s">
        <v>46</v>
      </c>
      <c r="W67" s="19" t="s">
        <v>46</v>
      </c>
      <c r="X67" s="19" t="s">
        <v>46</v>
      </c>
      <c r="Y67" s="19" t="s">
        <v>46</v>
      </c>
      <c r="Z67" s="19" t="s">
        <v>46</v>
      </c>
      <c r="AA67" s="19" t="s">
        <v>46</v>
      </c>
      <c r="AB67" s="19" t="s">
        <v>46</v>
      </c>
      <c r="AC67" s="19" t="s">
        <v>46</v>
      </c>
      <c r="AD67" s="19" t="s">
        <v>46</v>
      </c>
      <c r="AE67" s="19" t="s">
        <v>46</v>
      </c>
      <c r="AF67" s="19" t="s">
        <v>46</v>
      </c>
      <c r="AG67" s="19" t="s">
        <v>46</v>
      </c>
    </row>
    <row r="68" spans="1:33" ht="18" x14ac:dyDescent="0.2">
      <c r="A68" s="21"/>
      <c r="B68" s="18" t="s">
        <v>45</v>
      </c>
      <c r="C68" s="19" t="s">
        <v>46</v>
      </c>
      <c r="D68" s="19" t="s">
        <v>46</v>
      </c>
      <c r="E68" s="19" t="s">
        <v>46</v>
      </c>
      <c r="F68" s="19" t="s">
        <v>46</v>
      </c>
      <c r="G68" s="19" t="s">
        <v>46</v>
      </c>
      <c r="H68" s="19" t="s">
        <v>46</v>
      </c>
      <c r="I68" s="19" t="s">
        <v>46</v>
      </c>
      <c r="J68" s="19" t="s">
        <v>46</v>
      </c>
      <c r="K68" s="19" t="s">
        <v>46</v>
      </c>
      <c r="L68" s="19" t="s">
        <v>46</v>
      </c>
      <c r="M68" s="19" t="s">
        <v>46</v>
      </c>
      <c r="N68" s="19" t="s">
        <v>46</v>
      </c>
      <c r="O68" s="19" t="s">
        <v>46</v>
      </c>
      <c r="P68" s="19" t="s">
        <v>46</v>
      </c>
      <c r="Q68" s="19" t="s">
        <v>46</v>
      </c>
      <c r="R68" s="19" t="s">
        <v>46</v>
      </c>
      <c r="S68" s="19" t="s">
        <v>46</v>
      </c>
      <c r="T68" s="19" t="s">
        <v>46</v>
      </c>
      <c r="U68" s="19" t="s">
        <v>46</v>
      </c>
      <c r="V68" s="19" t="s">
        <v>46</v>
      </c>
      <c r="W68" s="19" t="s">
        <v>46</v>
      </c>
      <c r="X68" s="19" t="s">
        <v>46</v>
      </c>
      <c r="Y68" s="19" t="s">
        <v>46</v>
      </c>
      <c r="Z68" s="19" t="s">
        <v>46</v>
      </c>
      <c r="AA68" s="19" t="s">
        <v>46</v>
      </c>
      <c r="AB68" s="19" t="s">
        <v>46</v>
      </c>
      <c r="AC68" s="19" t="s">
        <v>46</v>
      </c>
      <c r="AD68" s="19" t="s">
        <v>46</v>
      </c>
      <c r="AE68" s="19" t="s">
        <v>46</v>
      </c>
      <c r="AF68" s="19" t="s">
        <v>46</v>
      </c>
      <c r="AG68" s="19" t="s">
        <v>46</v>
      </c>
    </row>
    <row r="69" spans="1:33" ht="18" x14ac:dyDescent="0.2">
      <c r="A69" s="21" t="s">
        <v>36</v>
      </c>
      <c r="B69" s="18" t="s">
        <v>5</v>
      </c>
      <c r="C69" s="19" t="str">
        <f>C66</f>
        <v>O</v>
      </c>
      <c r="D69" s="19" t="str">
        <f t="shared" ref="D69:AG69" si="9">D66</f>
        <v/>
      </c>
      <c r="E69" s="19" t="str">
        <f t="shared" si="9"/>
        <v/>
      </c>
      <c r="F69" s="19" t="str">
        <f t="shared" si="9"/>
        <v/>
      </c>
      <c r="G69" s="19" t="str">
        <f t="shared" si="9"/>
        <v/>
      </c>
      <c r="H69" s="19" t="str">
        <f t="shared" si="9"/>
        <v/>
      </c>
      <c r="I69" s="19" t="str">
        <f t="shared" si="9"/>
        <v>O</v>
      </c>
      <c r="J69" s="19" t="str">
        <f t="shared" si="9"/>
        <v>O</v>
      </c>
      <c r="K69" s="19" t="str">
        <f t="shared" si="9"/>
        <v>O</v>
      </c>
      <c r="L69" s="19" t="str">
        <f t="shared" si="9"/>
        <v/>
      </c>
      <c r="M69" s="19" t="str">
        <f t="shared" si="9"/>
        <v/>
      </c>
      <c r="N69" s="19" t="str">
        <f t="shared" si="9"/>
        <v/>
      </c>
      <c r="O69" s="19" t="str">
        <f t="shared" si="9"/>
        <v/>
      </c>
      <c r="P69" s="19" t="str">
        <f t="shared" si="9"/>
        <v>O</v>
      </c>
      <c r="Q69" s="19" t="str">
        <f t="shared" si="9"/>
        <v>O</v>
      </c>
      <c r="R69" s="19" t="str">
        <f t="shared" si="9"/>
        <v>O</v>
      </c>
      <c r="S69" s="19" t="str">
        <f t="shared" si="9"/>
        <v/>
      </c>
      <c r="T69" s="19" t="str">
        <f t="shared" si="9"/>
        <v/>
      </c>
      <c r="U69" s="19" t="str">
        <f t="shared" si="9"/>
        <v/>
      </c>
      <c r="V69" s="19" t="str">
        <f t="shared" si="9"/>
        <v/>
      </c>
      <c r="W69" s="19" t="str">
        <f t="shared" si="9"/>
        <v>O</v>
      </c>
      <c r="X69" s="19" t="str">
        <f t="shared" si="9"/>
        <v>O</v>
      </c>
      <c r="Y69" s="19" t="str">
        <f t="shared" si="9"/>
        <v>O</v>
      </c>
      <c r="Z69" s="19" t="str">
        <f t="shared" si="9"/>
        <v/>
      </c>
      <c r="AA69" s="19" t="str">
        <f t="shared" si="9"/>
        <v/>
      </c>
      <c r="AB69" s="19" t="str">
        <f t="shared" si="9"/>
        <v/>
      </c>
      <c r="AC69" s="19" t="str">
        <f t="shared" si="9"/>
        <v/>
      </c>
      <c r="AD69" s="19" t="str">
        <f t="shared" si="9"/>
        <v/>
      </c>
      <c r="AE69" s="19" t="str">
        <f t="shared" si="9"/>
        <v/>
      </c>
      <c r="AF69" s="19" t="str">
        <f t="shared" si="9"/>
        <v/>
      </c>
      <c r="AG69" s="19" t="str">
        <f t="shared" si="9"/>
        <v/>
      </c>
    </row>
    <row r="70" spans="1:33" ht="18" x14ac:dyDescent="0.2">
      <c r="A70" s="21"/>
      <c r="B70" s="18" t="s">
        <v>6</v>
      </c>
      <c r="C70" s="19" t="s">
        <v>46</v>
      </c>
      <c r="D70" s="19" t="s">
        <v>46</v>
      </c>
      <c r="E70" s="19" t="s">
        <v>46</v>
      </c>
      <c r="F70" s="19" t="s">
        <v>46</v>
      </c>
      <c r="G70" s="19" t="s">
        <v>46</v>
      </c>
      <c r="H70" s="19" t="s">
        <v>46</v>
      </c>
      <c r="I70" s="19" t="s">
        <v>46</v>
      </c>
      <c r="J70" s="19" t="s">
        <v>46</v>
      </c>
      <c r="K70" s="19" t="s">
        <v>46</v>
      </c>
      <c r="L70" s="19" t="s">
        <v>46</v>
      </c>
      <c r="M70" s="19" t="s">
        <v>46</v>
      </c>
      <c r="N70" s="19" t="s">
        <v>46</v>
      </c>
      <c r="O70" s="19" t="s">
        <v>46</v>
      </c>
      <c r="P70" s="19" t="s">
        <v>46</v>
      </c>
      <c r="Q70" s="19" t="s">
        <v>46</v>
      </c>
      <c r="R70" s="19" t="s">
        <v>46</v>
      </c>
      <c r="S70" s="19" t="s">
        <v>46</v>
      </c>
      <c r="T70" s="19" t="s">
        <v>46</v>
      </c>
      <c r="U70" s="19" t="s">
        <v>46</v>
      </c>
      <c r="V70" s="19" t="s">
        <v>46</v>
      </c>
      <c r="W70" s="19" t="s">
        <v>46</v>
      </c>
      <c r="X70" s="19" t="s">
        <v>46</v>
      </c>
      <c r="Y70" s="19" t="s">
        <v>46</v>
      </c>
      <c r="Z70" s="19" t="s">
        <v>46</v>
      </c>
      <c r="AA70" s="19" t="s">
        <v>46</v>
      </c>
      <c r="AB70" s="19" t="s">
        <v>46</v>
      </c>
      <c r="AC70" s="19" t="s">
        <v>46</v>
      </c>
      <c r="AD70" s="19" t="s">
        <v>46</v>
      </c>
      <c r="AE70" s="19" t="s">
        <v>46</v>
      </c>
      <c r="AF70" s="19" t="s">
        <v>46</v>
      </c>
      <c r="AG70" s="19" t="s">
        <v>46</v>
      </c>
    </row>
    <row r="71" spans="1:33" ht="18" x14ac:dyDescent="0.2">
      <c r="A71" s="21"/>
      <c r="B71" s="18" t="s">
        <v>45</v>
      </c>
      <c r="C71" s="19" t="s">
        <v>46</v>
      </c>
      <c r="D71" s="19" t="s">
        <v>46</v>
      </c>
      <c r="E71" s="19" t="s">
        <v>46</v>
      </c>
      <c r="F71" s="19" t="s">
        <v>46</v>
      </c>
      <c r="G71" s="19" t="s">
        <v>46</v>
      </c>
      <c r="H71" s="19" t="s">
        <v>46</v>
      </c>
      <c r="I71" s="19" t="s">
        <v>46</v>
      </c>
      <c r="J71" s="19" t="s">
        <v>46</v>
      </c>
      <c r="K71" s="19" t="s">
        <v>46</v>
      </c>
      <c r="L71" s="19" t="s">
        <v>46</v>
      </c>
      <c r="M71" s="19" t="s">
        <v>46</v>
      </c>
      <c r="N71" s="19" t="s">
        <v>46</v>
      </c>
      <c r="O71" s="19" t="s">
        <v>46</v>
      </c>
      <c r="P71" s="19" t="s">
        <v>46</v>
      </c>
      <c r="Q71" s="19" t="s">
        <v>46</v>
      </c>
      <c r="R71" s="19" t="s">
        <v>46</v>
      </c>
      <c r="S71" s="19" t="s">
        <v>46</v>
      </c>
      <c r="T71" s="19" t="s">
        <v>46</v>
      </c>
      <c r="U71" s="19" t="s">
        <v>46</v>
      </c>
      <c r="V71" s="19" t="s">
        <v>46</v>
      </c>
      <c r="W71" s="19" t="s">
        <v>46</v>
      </c>
      <c r="X71" s="19" t="s">
        <v>46</v>
      </c>
      <c r="Y71" s="19" t="s">
        <v>46</v>
      </c>
      <c r="Z71" s="19" t="s">
        <v>46</v>
      </c>
      <c r="AA71" s="19" t="s">
        <v>46</v>
      </c>
      <c r="AB71" s="19" t="s">
        <v>46</v>
      </c>
      <c r="AC71" s="19" t="s">
        <v>46</v>
      </c>
      <c r="AD71" s="19" t="s">
        <v>46</v>
      </c>
      <c r="AE71" s="19" t="s">
        <v>46</v>
      </c>
      <c r="AF71" s="19" t="s">
        <v>46</v>
      </c>
      <c r="AG71" s="19" t="s">
        <v>46</v>
      </c>
    </row>
    <row r="72" spans="1:33" ht="18" x14ac:dyDescent="0.2">
      <c r="A72" s="21" t="s">
        <v>37</v>
      </c>
      <c r="B72" s="18" t="s">
        <v>5</v>
      </c>
      <c r="C72" s="19" t="str">
        <f>C69</f>
        <v>O</v>
      </c>
      <c r="D72" s="19" t="str">
        <f t="shared" ref="D72:AG72" si="10">D69</f>
        <v/>
      </c>
      <c r="E72" s="19" t="str">
        <f t="shared" si="10"/>
        <v/>
      </c>
      <c r="F72" s="19" t="str">
        <f t="shared" si="10"/>
        <v/>
      </c>
      <c r="G72" s="19" t="str">
        <f t="shared" si="10"/>
        <v/>
      </c>
      <c r="H72" s="19" t="str">
        <f t="shared" si="10"/>
        <v/>
      </c>
      <c r="I72" s="19" t="str">
        <f t="shared" si="10"/>
        <v>O</v>
      </c>
      <c r="J72" s="19" t="str">
        <f t="shared" si="10"/>
        <v>O</v>
      </c>
      <c r="K72" s="19" t="str">
        <f t="shared" si="10"/>
        <v>O</v>
      </c>
      <c r="L72" s="19" t="str">
        <f t="shared" si="10"/>
        <v/>
      </c>
      <c r="M72" s="19" t="str">
        <f t="shared" si="10"/>
        <v/>
      </c>
      <c r="N72" s="19" t="str">
        <f t="shared" si="10"/>
        <v/>
      </c>
      <c r="O72" s="19" t="str">
        <f t="shared" si="10"/>
        <v/>
      </c>
      <c r="P72" s="19" t="str">
        <f t="shared" si="10"/>
        <v>O</v>
      </c>
      <c r="Q72" s="19" t="str">
        <f t="shared" si="10"/>
        <v>O</v>
      </c>
      <c r="R72" s="19" t="str">
        <f t="shared" si="10"/>
        <v>O</v>
      </c>
      <c r="S72" s="19" t="str">
        <f t="shared" si="10"/>
        <v/>
      </c>
      <c r="T72" s="19" t="str">
        <f t="shared" si="10"/>
        <v/>
      </c>
      <c r="U72" s="19" t="str">
        <f t="shared" si="10"/>
        <v/>
      </c>
      <c r="V72" s="19" t="str">
        <f t="shared" si="10"/>
        <v/>
      </c>
      <c r="W72" s="19" t="str">
        <f t="shared" si="10"/>
        <v>O</v>
      </c>
      <c r="X72" s="19" t="str">
        <f t="shared" si="10"/>
        <v>O</v>
      </c>
      <c r="Y72" s="19" t="str">
        <f t="shared" si="10"/>
        <v>O</v>
      </c>
      <c r="Z72" s="19" t="str">
        <f t="shared" si="10"/>
        <v/>
      </c>
      <c r="AA72" s="19" t="str">
        <f t="shared" si="10"/>
        <v/>
      </c>
      <c r="AB72" s="19" t="str">
        <f t="shared" si="10"/>
        <v/>
      </c>
      <c r="AC72" s="19" t="str">
        <f t="shared" si="10"/>
        <v/>
      </c>
      <c r="AD72" s="19" t="str">
        <f t="shared" si="10"/>
        <v/>
      </c>
      <c r="AE72" s="19" t="str">
        <f t="shared" si="10"/>
        <v/>
      </c>
      <c r="AF72" s="19" t="str">
        <f t="shared" si="10"/>
        <v/>
      </c>
      <c r="AG72" s="19" t="str">
        <f t="shared" si="10"/>
        <v/>
      </c>
    </row>
    <row r="73" spans="1:33" ht="18" x14ac:dyDescent="0.2">
      <c r="A73" s="21"/>
      <c r="B73" s="18" t="s">
        <v>6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spans="1:33" ht="18" x14ac:dyDescent="0.2">
      <c r="A74" s="21"/>
      <c r="B74" s="18" t="s">
        <v>45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spans="1:33" ht="18" customHeight="1" x14ac:dyDescent="0.2">
      <c r="A75" s="11" t="s">
        <v>0</v>
      </c>
      <c r="B75" s="12" t="s">
        <v>2</v>
      </c>
      <c r="C75" s="34" t="str">
        <f>C45</f>
        <v>เดือน สิงหาคม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</row>
    <row r="76" spans="1:33" ht="18" x14ac:dyDescent="0.2">
      <c r="A76" s="14" t="s">
        <v>1</v>
      </c>
      <c r="B76" s="15" t="s">
        <v>3</v>
      </c>
      <c r="C76" s="13">
        <f>C46</f>
        <v>1</v>
      </c>
      <c r="D76" s="13">
        <f t="shared" ref="D76:AF76" si="11">D46</f>
        <v>2</v>
      </c>
      <c r="E76" s="13">
        <f t="shared" si="11"/>
        <v>3</v>
      </c>
      <c r="F76" s="13">
        <f t="shared" si="11"/>
        <v>4</v>
      </c>
      <c r="G76" s="13">
        <f t="shared" si="11"/>
        <v>5</v>
      </c>
      <c r="H76" s="13">
        <f t="shared" si="11"/>
        <v>6</v>
      </c>
      <c r="I76" s="13">
        <f t="shared" si="11"/>
        <v>7</v>
      </c>
      <c r="J76" s="13">
        <f t="shared" si="11"/>
        <v>8</v>
      </c>
      <c r="K76" s="13">
        <f t="shared" si="11"/>
        <v>9</v>
      </c>
      <c r="L76" s="13">
        <f t="shared" si="11"/>
        <v>10</v>
      </c>
      <c r="M76" s="13">
        <f t="shared" si="11"/>
        <v>11</v>
      </c>
      <c r="N76" s="13">
        <f t="shared" si="11"/>
        <v>12</v>
      </c>
      <c r="O76" s="13">
        <f t="shared" si="11"/>
        <v>13</v>
      </c>
      <c r="P76" s="13">
        <f t="shared" si="11"/>
        <v>14</v>
      </c>
      <c r="Q76" s="13">
        <f t="shared" si="11"/>
        <v>15</v>
      </c>
      <c r="R76" s="13">
        <f t="shared" si="11"/>
        <v>16</v>
      </c>
      <c r="S76" s="13">
        <f t="shared" si="11"/>
        <v>17</v>
      </c>
      <c r="T76" s="13">
        <f t="shared" si="11"/>
        <v>18</v>
      </c>
      <c r="U76" s="13">
        <f t="shared" si="11"/>
        <v>19</v>
      </c>
      <c r="V76" s="13">
        <f t="shared" si="11"/>
        <v>20</v>
      </c>
      <c r="W76" s="13">
        <f t="shared" si="11"/>
        <v>21</v>
      </c>
      <c r="X76" s="13">
        <f t="shared" si="11"/>
        <v>22</v>
      </c>
      <c r="Y76" s="13">
        <f t="shared" si="11"/>
        <v>23</v>
      </c>
      <c r="Z76" s="13">
        <f t="shared" si="11"/>
        <v>24</v>
      </c>
      <c r="AA76" s="13">
        <f t="shared" si="11"/>
        <v>25</v>
      </c>
      <c r="AB76" s="13">
        <f t="shared" si="11"/>
        <v>26</v>
      </c>
      <c r="AC76" s="13">
        <f t="shared" si="11"/>
        <v>27</v>
      </c>
      <c r="AD76" s="13">
        <f t="shared" si="11"/>
        <v>28</v>
      </c>
      <c r="AE76" s="13">
        <f t="shared" si="11"/>
        <v>29</v>
      </c>
      <c r="AF76" s="13">
        <f t="shared" si="11"/>
        <v>30</v>
      </c>
      <c r="AG76" s="13">
        <f>AG16</f>
        <v>31</v>
      </c>
    </row>
    <row r="77" spans="1:33" ht="18" x14ac:dyDescent="0.2">
      <c r="A77" s="16"/>
      <c r="B77" s="17" t="s">
        <v>4</v>
      </c>
      <c r="C77" s="13">
        <f>C47</f>
        <v>0</v>
      </c>
      <c r="D77" s="13">
        <f t="shared" ref="D77:AG77" si="12">D47</f>
        <v>0</v>
      </c>
      <c r="E77" s="13">
        <f t="shared" si="12"/>
        <v>2</v>
      </c>
      <c r="F77" s="13">
        <f>F47</f>
        <v>2</v>
      </c>
      <c r="G77" s="13">
        <f t="shared" si="12"/>
        <v>2</v>
      </c>
      <c r="H77" s="13">
        <f t="shared" si="12"/>
        <v>2</v>
      </c>
      <c r="I77" s="13">
        <f t="shared" si="12"/>
        <v>2</v>
      </c>
      <c r="J77" s="13">
        <f t="shared" si="12"/>
        <v>0</v>
      </c>
      <c r="K77" s="13">
        <f t="shared" si="12"/>
        <v>0</v>
      </c>
      <c r="L77" s="13">
        <f t="shared" si="12"/>
        <v>1</v>
      </c>
      <c r="M77" s="13">
        <f t="shared" si="12"/>
        <v>1</v>
      </c>
      <c r="N77" s="13">
        <f t="shared" si="12"/>
        <v>1</v>
      </c>
      <c r="O77" s="13">
        <f t="shared" si="12"/>
        <v>1</v>
      </c>
      <c r="P77" s="13">
        <f t="shared" si="12"/>
        <v>1</v>
      </c>
      <c r="Q77" s="13">
        <f t="shared" si="12"/>
        <v>0</v>
      </c>
      <c r="R77" s="13">
        <f t="shared" si="12"/>
        <v>0</v>
      </c>
      <c r="S77" s="13">
        <f t="shared" si="12"/>
        <v>2</v>
      </c>
      <c r="T77" s="13">
        <f t="shared" si="12"/>
        <v>2</v>
      </c>
      <c r="U77" s="13">
        <f t="shared" si="12"/>
        <v>2</v>
      </c>
      <c r="V77" s="13">
        <f t="shared" si="12"/>
        <v>2</v>
      </c>
      <c r="W77" s="13">
        <f t="shared" si="12"/>
        <v>2</v>
      </c>
      <c r="X77" s="13">
        <f t="shared" si="12"/>
        <v>0</v>
      </c>
      <c r="Y77" s="13">
        <f t="shared" si="12"/>
        <v>0</v>
      </c>
      <c r="Z77" s="13">
        <f t="shared" si="12"/>
        <v>1</v>
      </c>
      <c r="AA77" s="13">
        <f t="shared" si="12"/>
        <v>1</v>
      </c>
      <c r="AB77" s="13">
        <f t="shared" si="12"/>
        <v>1</v>
      </c>
      <c r="AC77" s="13">
        <f t="shared" si="12"/>
        <v>1</v>
      </c>
      <c r="AD77" s="13">
        <f t="shared" si="12"/>
        <v>1</v>
      </c>
      <c r="AE77" s="13">
        <f t="shared" si="12"/>
        <v>0</v>
      </c>
      <c r="AF77" s="13">
        <f t="shared" si="12"/>
        <v>0</v>
      </c>
      <c r="AG77" s="13">
        <f t="shared" si="12"/>
        <v>2</v>
      </c>
    </row>
    <row r="78" spans="1:33" ht="18.75" customHeight="1" x14ac:dyDescent="0.2">
      <c r="A78" s="21" t="str">
        <f>IF(A66="","",A66)</f>
        <v>บันทึกความดันห้อง (เกณฑ์ 0.11-0.15) (ทุกวันที่บรรจุ)</v>
      </c>
      <c r="B78" s="18" t="s">
        <v>5</v>
      </c>
      <c r="C78" s="13" t="str">
        <f>C48</f>
        <v/>
      </c>
      <c r="D78" s="13" t="str">
        <f t="shared" ref="D78:AG78" si="13">D48</f>
        <v/>
      </c>
      <c r="E78" s="13" t="str">
        <f t="shared" si="13"/>
        <v/>
      </c>
      <c r="F78" s="13" t="str">
        <f t="shared" si="13"/>
        <v>O</v>
      </c>
      <c r="G78" s="13" t="str">
        <f t="shared" si="13"/>
        <v>O</v>
      </c>
      <c r="H78" s="13" t="str">
        <f t="shared" si="13"/>
        <v>O</v>
      </c>
      <c r="I78" s="13" t="str">
        <f t="shared" si="13"/>
        <v/>
      </c>
      <c r="J78" s="13" t="str">
        <f t="shared" si="13"/>
        <v/>
      </c>
      <c r="K78" s="13" t="str">
        <f t="shared" si="13"/>
        <v/>
      </c>
      <c r="L78" s="13" t="str">
        <f t="shared" si="13"/>
        <v/>
      </c>
      <c r="M78" s="13" t="str">
        <f t="shared" si="13"/>
        <v/>
      </c>
      <c r="N78" s="13" t="str">
        <f t="shared" si="13"/>
        <v/>
      </c>
      <c r="O78" s="13" t="str">
        <f t="shared" si="13"/>
        <v>O</v>
      </c>
      <c r="P78" s="13" t="str">
        <f t="shared" si="13"/>
        <v>O</v>
      </c>
      <c r="Q78" s="13" t="str">
        <f t="shared" si="13"/>
        <v/>
      </c>
      <c r="R78" s="13" t="str">
        <f t="shared" si="13"/>
        <v/>
      </c>
      <c r="S78" s="13" t="str">
        <f t="shared" si="13"/>
        <v/>
      </c>
      <c r="T78" s="13" t="str">
        <f t="shared" si="13"/>
        <v>O</v>
      </c>
      <c r="U78" s="13" t="str">
        <f t="shared" si="13"/>
        <v>O</v>
      </c>
      <c r="V78" s="13" t="str">
        <f t="shared" si="13"/>
        <v>O</v>
      </c>
      <c r="W78" s="13" t="str">
        <f t="shared" si="13"/>
        <v/>
      </c>
      <c r="X78" s="13" t="str">
        <f t="shared" si="13"/>
        <v/>
      </c>
      <c r="Y78" s="13" t="str">
        <f t="shared" si="13"/>
        <v/>
      </c>
      <c r="Z78" s="13" t="str">
        <f t="shared" si="13"/>
        <v/>
      </c>
      <c r="AA78" s="13" t="str">
        <f t="shared" si="13"/>
        <v>O</v>
      </c>
      <c r="AB78" s="13" t="str">
        <f t="shared" si="13"/>
        <v>O</v>
      </c>
      <c r="AC78" s="13" t="str">
        <f t="shared" si="13"/>
        <v/>
      </c>
      <c r="AD78" s="13" t="str">
        <f t="shared" si="13"/>
        <v/>
      </c>
      <c r="AE78" s="13" t="str">
        <f t="shared" si="13"/>
        <v/>
      </c>
      <c r="AF78" s="13" t="str">
        <f t="shared" si="13"/>
        <v/>
      </c>
      <c r="AG78" s="13" t="str">
        <f t="shared" si="13"/>
        <v/>
      </c>
    </row>
    <row r="79" spans="1:33" ht="18" x14ac:dyDescent="0.2">
      <c r="A79" s="21"/>
      <c r="B79" s="18" t="s">
        <v>6</v>
      </c>
      <c r="C79" s="19" t="s">
        <v>46</v>
      </c>
      <c r="D79" s="19" t="s">
        <v>46</v>
      </c>
      <c r="E79" s="19" t="s">
        <v>46</v>
      </c>
      <c r="F79" s="19" t="s">
        <v>46</v>
      </c>
      <c r="G79" s="19" t="s">
        <v>46</v>
      </c>
      <c r="H79" s="19" t="s">
        <v>46</v>
      </c>
      <c r="I79" s="19" t="s">
        <v>46</v>
      </c>
      <c r="J79" s="19" t="s">
        <v>46</v>
      </c>
      <c r="K79" s="19" t="s">
        <v>46</v>
      </c>
      <c r="L79" s="19" t="s">
        <v>46</v>
      </c>
      <c r="M79" s="19" t="s">
        <v>46</v>
      </c>
      <c r="N79" s="19" t="s">
        <v>46</v>
      </c>
      <c r="O79" s="19" t="s">
        <v>46</v>
      </c>
      <c r="P79" s="19" t="s">
        <v>46</v>
      </c>
      <c r="Q79" s="19" t="s">
        <v>46</v>
      </c>
      <c r="R79" s="19" t="s">
        <v>46</v>
      </c>
      <c r="S79" s="19" t="s">
        <v>46</v>
      </c>
      <c r="T79" s="19" t="s">
        <v>46</v>
      </c>
      <c r="U79" s="19" t="s">
        <v>46</v>
      </c>
      <c r="V79" s="19" t="s">
        <v>46</v>
      </c>
      <c r="W79" s="19" t="s">
        <v>46</v>
      </c>
      <c r="X79" s="19" t="s">
        <v>46</v>
      </c>
      <c r="Y79" s="19" t="s">
        <v>46</v>
      </c>
      <c r="Z79" s="19" t="s">
        <v>46</v>
      </c>
      <c r="AA79" s="19" t="s">
        <v>46</v>
      </c>
      <c r="AB79" s="19" t="s">
        <v>46</v>
      </c>
      <c r="AC79" s="19" t="s">
        <v>46</v>
      </c>
      <c r="AD79" s="19" t="s">
        <v>46</v>
      </c>
      <c r="AE79" s="19" t="s">
        <v>46</v>
      </c>
      <c r="AF79" s="19" t="s">
        <v>46</v>
      </c>
      <c r="AG79" s="19" t="s">
        <v>46</v>
      </c>
    </row>
    <row r="80" spans="1:33" ht="18" x14ac:dyDescent="0.2">
      <c r="A80" s="21"/>
      <c r="B80" s="18" t="s">
        <v>45</v>
      </c>
      <c r="C80" s="19" t="s">
        <v>46</v>
      </c>
      <c r="D80" s="19" t="s">
        <v>46</v>
      </c>
      <c r="E80" s="19" t="s">
        <v>46</v>
      </c>
      <c r="F80" s="19" t="s">
        <v>46</v>
      </c>
      <c r="G80" s="19" t="s">
        <v>46</v>
      </c>
      <c r="H80" s="19" t="s">
        <v>46</v>
      </c>
      <c r="I80" s="19" t="s">
        <v>46</v>
      </c>
      <c r="J80" s="19" t="s">
        <v>46</v>
      </c>
      <c r="K80" s="19" t="s">
        <v>46</v>
      </c>
      <c r="L80" s="19" t="s">
        <v>46</v>
      </c>
      <c r="M80" s="19" t="s">
        <v>46</v>
      </c>
      <c r="N80" s="19" t="s">
        <v>46</v>
      </c>
      <c r="O80" s="19" t="s">
        <v>46</v>
      </c>
      <c r="P80" s="19" t="s">
        <v>46</v>
      </c>
      <c r="Q80" s="19" t="s">
        <v>46</v>
      </c>
      <c r="R80" s="19" t="s">
        <v>46</v>
      </c>
      <c r="S80" s="19" t="s">
        <v>46</v>
      </c>
      <c r="T80" s="19" t="s">
        <v>46</v>
      </c>
      <c r="U80" s="19" t="s">
        <v>46</v>
      </c>
      <c r="V80" s="19" t="s">
        <v>46</v>
      </c>
      <c r="W80" s="19" t="s">
        <v>46</v>
      </c>
      <c r="X80" s="19" t="s">
        <v>46</v>
      </c>
      <c r="Y80" s="19" t="s">
        <v>46</v>
      </c>
      <c r="Z80" s="19" t="s">
        <v>46</v>
      </c>
      <c r="AA80" s="19" t="s">
        <v>46</v>
      </c>
      <c r="AB80" s="19" t="s">
        <v>46</v>
      </c>
      <c r="AC80" s="19" t="s">
        <v>46</v>
      </c>
      <c r="AD80" s="19" t="s">
        <v>46</v>
      </c>
      <c r="AE80" s="19" t="s">
        <v>46</v>
      </c>
      <c r="AF80" s="19" t="s">
        <v>46</v>
      </c>
      <c r="AG80" s="19" t="s">
        <v>46</v>
      </c>
    </row>
    <row r="81" spans="1:33" ht="18" x14ac:dyDescent="0.2">
      <c r="A81" s="21" t="str">
        <f>IF(A69="","",A69)</f>
        <v>บันทึกอุณหภูมิ (เกณฑ์ 18-24 C) (ทุกวันที่บรรจุ)</v>
      </c>
      <c r="B81" s="18" t="s">
        <v>5</v>
      </c>
      <c r="C81" s="19" t="str">
        <f>C51</f>
        <v/>
      </c>
      <c r="D81" s="19" t="str">
        <f t="shared" ref="D81:AG81" si="14">D51</f>
        <v/>
      </c>
      <c r="E81" s="19" t="str">
        <f t="shared" si="14"/>
        <v/>
      </c>
      <c r="F81" s="19" t="str">
        <f t="shared" si="14"/>
        <v>O</v>
      </c>
      <c r="G81" s="19" t="str">
        <f t="shared" si="14"/>
        <v>O</v>
      </c>
      <c r="H81" s="19" t="str">
        <f t="shared" si="14"/>
        <v>O</v>
      </c>
      <c r="I81" s="19" t="str">
        <f t="shared" si="14"/>
        <v/>
      </c>
      <c r="J81" s="19" t="str">
        <f t="shared" si="14"/>
        <v/>
      </c>
      <c r="K81" s="19" t="str">
        <f t="shared" si="14"/>
        <v/>
      </c>
      <c r="L81" s="19" t="str">
        <f t="shared" si="14"/>
        <v/>
      </c>
      <c r="M81" s="19" t="str">
        <f t="shared" si="14"/>
        <v/>
      </c>
      <c r="N81" s="19" t="str">
        <f t="shared" si="14"/>
        <v/>
      </c>
      <c r="O81" s="19" t="str">
        <f t="shared" si="14"/>
        <v>O</v>
      </c>
      <c r="P81" s="19" t="str">
        <f t="shared" si="14"/>
        <v>O</v>
      </c>
      <c r="Q81" s="19" t="str">
        <f t="shared" si="14"/>
        <v/>
      </c>
      <c r="R81" s="19" t="str">
        <f t="shared" si="14"/>
        <v/>
      </c>
      <c r="S81" s="19" t="str">
        <f t="shared" si="14"/>
        <v/>
      </c>
      <c r="T81" s="19" t="str">
        <f t="shared" si="14"/>
        <v>O</v>
      </c>
      <c r="U81" s="19" t="str">
        <f t="shared" si="14"/>
        <v>O</v>
      </c>
      <c r="V81" s="19" t="str">
        <f t="shared" si="14"/>
        <v>O</v>
      </c>
      <c r="W81" s="19" t="str">
        <f t="shared" si="14"/>
        <v/>
      </c>
      <c r="X81" s="19" t="str">
        <f t="shared" si="14"/>
        <v/>
      </c>
      <c r="Y81" s="19" t="str">
        <f t="shared" si="14"/>
        <v/>
      </c>
      <c r="Z81" s="19" t="str">
        <f t="shared" si="14"/>
        <v/>
      </c>
      <c r="AA81" s="19" t="str">
        <f t="shared" si="14"/>
        <v>O</v>
      </c>
      <c r="AB81" s="19" t="str">
        <f t="shared" si="14"/>
        <v>O</v>
      </c>
      <c r="AC81" s="19" t="str">
        <f t="shared" si="14"/>
        <v/>
      </c>
      <c r="AD81" s="19" t="str">
        <f t="shared" si="14"/>
        <v/>
      </c>
      <c r="AE81" s="19" t="str">
        <f t="shared" si="14"/>
        <v/>
      </c>
      <c r="AF81" s="19" t="str">
        <f t="shared" si="14"/>
        <v/>
      </c>
      <c r="AG81" s="19" t="str">
        <f t="shared" si="14"/>
        <v/>
      </c>
    </row>
    <row r="82" spans="1:33" ht="18" x14ac:dyDescent="0.2">
      <c r="A82" s="21"/>
      <c r="B82" s="18" t="s">
        <v>6</v>
      </c>
      <c r="C82" s="19" t="s">
        <v>46</v>
      </c>
      <c r="D82" s="19" t="s">
        <v>46</v>
      </c>
      <c r="E82" s="19" t="s">
        <v>46</v>
      </c>
      <c r="F82" s="19" t="s">
        <v>46</v>
      </c>
      <c r="G82" s="19" t="s">
        <v>46</v>
      </c>
      <c r="H82" s="19" t="s">
        <v>46</v>
      </c>
      <c r="I82" s="19" t="s">
        <v>46</v>
      </c>
      <c r="J82" s="19" t="s">
        <v>46</v>
      </c>
      <c r="K82" s="19" t="s">
        <v>46</v>
      </c>
      <c r="L82" s="19" t="s">
        <v>46</v>
      </c>
      <c r="M82" s="19" t="s">
        <v>46</v>
      </c>
      <c r="N82" s="19" t="s">
        <v>46</v>
      </c>
      <c r="O82" s="19" t="s">
        <v>46</v>
      </c>
      <c r="P82" s="19" t="s">
        <v>46</v>
      </c>
      <c r="Q82" s="19" t="s">
        <v>46</v>
      </c>
      <c r="R82" s="19" t="s">
        <v>46</v>
      </c>
      <c r="S82" s="19" t="s">
        <v>46</v>
      </c>
      <c r="T82" s="19" t="s">
        <v>46</v>
      </c>
      <c r="U82" s="19" t="s">
        <v>46</v>
      </c>
      <c r="V82" s="19" t="s">
        <v>46</v>
      </c>
      <c r="W82" s="19" t="s">
        <v>46</v>
      </c>
      <c r="X82" s="19" t="s">
        <v>46</v>
      </c>
      <c r="Y82" s="19" t="s">
        <v>46</v>
      </c>
      <c r="Z82" s="19" t="s">
        <v>46</v>
      </c>
      <c r="AA82" s="19" t="s">
        <v>46</v>
      </c>
      <c r="AB82" s="19" t="s">
        <v>46</v>
      </c>
      <c r="AC82" s="19" t="s">
        <v>46</v>
      </c>
      <c r="AD82" s="19" t="s">
        <v>46</v>
      </c>
      <c r="AE82" s="19" t="s">
        <v>46</v>
      </c>
      <c r="AF82" s="19" t="s">
        <v>46</v>
      </c>
      <c r="AG82" s="19" t="s">
        <v>46</v>
      </c>
    </row>
    <row r="83" spans="1:33" ht="18" x14ac:dyDescent="0.2">
      <c r="A83" s="21"/>
      <c r="B83" s="18" t="s">
        <v>45</v>
      </c>
      <c r="C83" s="19" t="s">
        <v>46</v>
      </c>
      <c r="D83" s="19" t="s">
        <v>46</v>
      </c>
      <c r="E83" s="19" t="s">
        <v>46</v>
      </c>
      <c r="F83" s="19" t="s">
        <v>46</v>
      </c>
      <c r="G83" s="19" t="s">
        <v>46</v>
      </c>
      <c r="H83" s="19" t="s">
        <v>46</v>
      </c>
      <c r="I83" s="19" t="s">
        <v>46</v>
      </c>
      <c r="J83" s="19" t="s">
        <v>46</v>
      </c>
      <c r="K83" s="19" t="s">
        <v>46</v>
      </c>
      <c r="L83" s="19" t="s">
        <v>46</v>
      </c>
      <c r="M83" s="19" t="s">
        <v>46</v>
      </c>
      <c r="N83" s="19" t="s">
        <v>46</v>
      </c>
      <c r="O83" s="19" t="s">
        <v>46</v>
      </c>
      <c r="P83" s="19" t="s">
        <v>46</v>
      </c>
      <c r="Q83" s="19" t="s">
        <v>46</v>
      </c>
      <c r="R83" s="19" t="s">
        <v>46</v>
      </c>
      <c r="S83" s="19" t="s">
        <v>46</v>
      </c>
      <c r="T83" s="19" t="s">
        <v>46</v>
      </c>
      <c r="U83" s="19" t="s">
        <v>46</v>
      </c>
      <c r="V83" s="19" t="s">
        <v>46</v>
      </c>
      <c r="W83" s="19" t="s">
        <v>46</v>
      </c>
      <c r="X83" s="19" t="s">
        <v>46</v>
      </c>
      <c r="Y83" s="19" t="s">
        <v>46</v>
      </c>
      <c r="Z83" s="19" t="s">
        <v>46</v>
      </c>
      <c r="AA83" s="19" t="s">
        <v>46</v>
      </c>
      <c r="AB83" s="19" t="s">
        <v>46</v>
      </c>
      <c r="AC83" s="19" t="s">
        <v>46</v>
      </c>
      <c r="AD83" s="19" t="s">
        <v>46</v>
      </c>
      <c r="AE83" s="19" t="s">
        <v>46</v>
      </c>
      <c r="AF83" s="19" t="s">
        <v>46</v>
      </c>
      <c r="AG83" s="19" t="s">
        <v>46</v>
      </c>
    </row>
    <row r="84" spans="1:33" ht="18" x14ac:dyDescent="0.2">
      <c r="A84" s="21" t="str">
        <f>IF(A72="","",A72)</f>
        <v>บันทึกความชื้นห้อง (เกณฑ์ 40-60%RH) (ทุกวันที่บรรจุ)</v>
      </c>
      <c r="B84" s="18" t="s">
        <v>5</v>
      </c>
      <c r="C84" s="19" t="str">
        <f>C54</f>
        <v/>
      </c>
      <c r="D84" s="19" t="str">
        <f t="shared" ref="D84:AG84" si="15">D54</f>
        <v/>
      </c>
      <c r="E84" s="19" t="str">
        <f t="shared" si="15"/>
        <v/>
      </c>
      <c r="F84" s="19" t="str">
        <f t="shared" si="15"/>
        <v>O</v>
      </c>
      <c r="G84" s="19" t="str">
        <f t="shared" si="15"/>
        <v>O</v>
      </c>
      <c r="H84" s="19" t="str">
        <f t="shared" si="15"/>
        <v>O</v>
      </c>
      <c r="I84" s="19" t="str">
        <f t="shared" si="15"/>
        <v/>
      </c>
      <c r="J84" s="19" t="str">
        <f t="shared" si="15"/>
        <v/>
      </c>
      <c r="K84" s="19" t="str">
        <f t="shared" si="15"/>
        <v/>
      </c>
      <c r="L84" s="19" t="str">
        <f t="shared" si="15"/>
        <v/>
      </c>
      <c r="M84" s="19" t="str">
        <f t="shared" si="15"/>
        <v/>
      </c>
      <c r="N84" s="19" t="str">
        <f t="shared" si="15"/>
        <v/>
      </c>
      <c r="O84" s="19" t="str">
        <f t="shared" si="15"/>
        <v>O</v>
      </c>
      <c r="P84" s="19" t="str">
        <f t="shared" si="15"/>
        <v>O</v>
      </c>
      <c r="Q84" s="19" t="str">
        <f t="shared" si="15"/>
        <v/>
      </c>
      <c r="R84" s="19" t="str">
        <f t="shared" si="15"/>
        <v/>
      </c>
      <c r="S84" s="19" t="str">
        <f t="shared" si="15"/>
        <v/>
      </c>
      <c r="T84" s="19" t="str">
        <f t="shared" si="15"/>
        <v>O</v>
      </c>
      <c r="U84" s="19" t="str">
        <f t="shared" si="15"/>
        <v>O</v>
      </c>
      <c r="V84" s="19" t="str">
        <f t="shared" si="15"/>
        <v>O</v>
      </c>
      <c r="W84" s="19" t="str">
        <f t="shared" si="15"/>
        <v/>
      </c>
      <c r="X84" s="19" t="str">
        <f t="shared" si="15"/>
        <v/>
      </c>
      <c r="Y84" s="19" t="str">
        <f t="shared" si="15"/>
        <v/>
      </c>
      <c r="Z84" s="19" t="str">
        <f t="shared" si="15"/>
        <v/>
      </c>
      <c r="AA84" s="19" t="str">
        <f t="shared" si="15"/>
        <v>O</v>
      </c>
      <c r="AB84" s="19" t="str">
        <f t="shared" si="15"/>
        <v>O</v>
      </c>
      <c r="AC84" s="19" t="str">
        <f t="shared" si="15"/>
        <v/>
      </c>
      <c r="AD84" s="19" t="str">
        <f t="shared" si="15"/>
        <v/>
      </c>
      <c r="AE84" s="19" t="str">
        <f t="shared" si="15"/>
        <v/>
      </c>
      <c r="AF84" s="19" t="str">
        <f t="shared" si="15"/>
        <v/>
      </c>
      <c r="AG84" s="19" t="str">
        <f t="shared" si="15"/>
        <v/>
      </c>
    </row>
    <row r="85" spans="1:33" ht="18" x14ac:dyDescent="0.2">
      <c r="A85" s="21"/>
      <c r="B85" s="18" t="s">
        <v>6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spans="1:33" ht="18" x14ac:dyDescent="0.2">
      <c r="A86" s="21"/>
      <c r="B86" s="18" t="s">
        <v>45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spans="1:33" ht="18" x14ac:dyDescent="0.4">
      <c r="A87" s="4" t="s">
        <v>13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22" t="s">
        <v>22</v>
      </c>
      <c r="X87" s="22"/>
      <c r="Y87" s="22"/>
      <c r="Z87" s="22"/>
      <c r="AA87" s="22"/>
      <c r="AB87" s="22"/>
      <c r="AC87" s="22"/>
      <c r="AD87" s="9"/>
      <c r="AE87" s="9"/>
      <c r="AF87" s="9"/>
      <c r="AG87" s="9"/>
    </row>
    <row r="88" spans="1:33" ht="18" x14ac:dyDescent="0.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ht="18" x14ac:dyDescent="0.4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23" t="s">
        <v>12</v>
      </c>
      <c r="Q89" s="23"/>
      <c r="R89" s="20" t="str">
        <f>IF(R59=0,"",R59)</f>
        <v>พีรวัส</v>
      </c>
      <c r="S89" s="20"/>
      <c r="T89" s="20"/>
      <c r="U89" s="23" t="s">
        <v>47</v>
      </c>
      <c r="V89" s="23"/>
      <c r="W89" s="20" t="str">
        <f>IF(W59=0,"",W59)</f>
        <v>วรพงศ์</v>
      </c>
      <c r="X89" s="20"/>
      <c r="Y89" s="20"/>
      <c r="Z89" s="7" t="s">
        <v>14</v>
      </c>
      <c r="AA89" s="24">
        <f>IF(AA59=0,"",AA59)</f>
        <v>244531</v>
      </c>
      <c r="AB89" s="20"/>
      <c r="AC89" s="20"/>
      <c r="AD89" s="8"/>
      <c r="AE89" s="20"/>
      <c r="AF89" s="20"/>
      <c r="AG89" s="20"/>
    </row>
    <row r="91" spans="1:33" ht="23.25" x14ac:dyDescent="0.5">
      <c r="A91" s="27" t="s">
        <v>49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</row>
    <row r="92" spans="1:33" s="1" customFormat="1" ht="21" x14ac:dyDescent="0.45">
      <c r="A92" s="5" t="s">
        <v>9</v>
      </c>
      <c r="B92" s="28" t="s">
        <v>7</v>
      </c>
      <c r="C92" s="28"/>
      <c r="D92" s="28"/>
      <c r="E92" s="28"/>
      <c r="F92" s="28"/>
      <c r="G92" s="28"/>
      <c r="H92" s="5" t="s">
        <v>7</v>
      </c>
      <c r="I92" s="28" t="s">
        <v>7</v>
      </c>
      <c r="J92" s="28"/>
      <c r="K92" s="28"/>
      <c r="L92" s="28"/>
      <c r="M92" s="29" t="s">
        <v>11</v>
      </c>
      <c r="N92" s="29"/>
      <c r="O92" s="28" t="s">
        <v>21</v>
      </c>
      <c r="P92" s="28"/>
      <c r="Q92" s="28"/>
      <c r="R92" s="28"/>
      <c r="S92" s="28"/>
      <c r="T92" s="5" t="s">
        <v>8</v>
      </c>
      <c r="U92" s="28">
        <f>U62</f>
        <v>2569</v>
      </c>
      <c r="V92" s="28"/>
      <c r="W92" s="29" t="s">
        <v>16</v>
      </c>
      <c r="X92" s="29"/>
      <c r="Y92" s="29"/>
      <c r="Z92" s="1" t="s">
        <v>34</v>
      </c>
    </row>
    <row r="93" spans="1:33" ht="18" x14ac:dyDescent="0.2">
      <c r="A93" s="11" t="s">
        <v>0</v>
      </c>
      <c r="B93" s="12" t="s">
        <v>2</v>
      </c>
      <c r="C93" s="34" t="str">
        <f>C63</f>
        <v>เดือน กรกฎาคม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</row>
    <row r="94" spans="1:33" ht="18" x14ac:dyDescent="0.2">
      <c r="A94" s="14" t="s">
        <v>1</v>
      </c>
      <c r="B94" s="15" t="s">
        <v>3</v>
      </c>
      <c r="C94" s="13">
        <f>C64</f>
        <v>1</v>
      </c>
      <c r="D94" s="13">
        <f>D64</f>
        <v>2</v>
      </c>
      <c r="E94" s="13">
        <f t="shared" ref="E94:AG94" si="16">E64</f>
        <v>3</v>
      </c>
      <c r="F94" s="13">
        <f t="shared" si="16"/>
        <v>4</v>
      </c>
      <c r="G94" s="13">
        <f t="shared" si="16"/>
        <v>5</v>
      </c>
      <c r="H94" s="13">
        <f t="shared" si="16"/>
        <v>6</v>
      </c>
      <c r="I94" s="13">
        <f t="shared" si="16"/>
        <v>7</v>
      </c>
      <c r="J94" s="13">
        <f t="shared" si="16"/>
        <v>8</v>
      </c>
      <c r="K94" s="13">
        <f t="shared" si="16"/>
        <v>9</v>
      </c>
      <c r="L94" s="13">
        <f t="shared" si="16"/>
        <v>10</v>
      </c>
      <c r="M94" s="13">
        <f t="shared" si="16"/>
        <v>11</v>
      </c>
      <c r="N94" s="13">
        <f t="shared" si="16"/>
        <v>12</v>
      </c>
      <c r="O94" s="13">
        <f t="shared" si="16"/>
        <v>13</v>
      </c>
      <c r="P94" s="13">
        <f t="shared" si="16"/>
        <v>14</v>
      </c>
      <c r="Q94" s="13">
        <f t="shared" si="16"/>
        <v>15</v>
      </c>
      <c r="R94" s="13">
        <f t="shared" si="16"/>
        <v>16</v>
      </c>
      <c r="S94" s="13">
        <f t="shared" si="16"/>
        <v>17</v>
      </c>
      <c r="T94" s="13">
        <f t="shared" si="16"/>
        <v>18</v>
      </c>
      <c r="U94" s="13">
        <f t="shared" si="16"/>
        <v>19</v>
      </c>
      <c r="V94" s="13">
        <f t="shared" si="16"/>
        <v>20</v>
      </c>
      <c r="W94" s="13">
        <f t="shared" si="16"/>
        <v>21</v>
      </c>
      <c r="X94" s="13">
        <f t="shared" si="16"/>
        <v>22</v>
      </c>
      <c r="Y94" s="13">
        <f t="shared" si="16"/>
        <v>23</v>
      </c>
      <c r="Z94" s="13">
        <f t="shared" si="16"/>
        <v>24</v>
      </c>
      <c r="AA94" s="13">
        <f t="shared" si="16"/>
        <v>25</v>
      </c>
      <c r="AB94" s="13">
        <f t="shared" si="16"/>
        <v>26</v>
      </c>
      <c r="AC94" s="13">
        <f t="shared" si="16"/>
        <v>27</v>
      </c>
      <c r="AD94" s="13">
        <f t="shared" si="16"/>
        <v>28</v>
      </c>
      <c r="AE94" s="13">
        <f t="shared" si="16"/>
        <v>29</v>
      </c>
      <c r="AF94" s="13">
        <f t="shared" si="16"/>
        <v>30</v>
      </c>
      <c r="AG94" s="13">
        <f t="shared" si="16"/>
        <v>31</v>
      </c>
    </row>
    <row r="95" spans="1:33" ht="18" x14ac:dyDescent="0.2">
      <c r="A95" s="16"/>
      <c r="B95" s="17" t="s">
        <v>4</v>
      </c>
      <c r="C95" s="13">
        <f>C65</f>
        <v>1</v>
      </c>
      <c r="D95" s="13">
        <f t="shared" ref="D95:AG95" si="17">D65</f>
        <v>1</v>
      </c>
      <c r="E95" s="13">
        <f t="shared" si="17"/>
        <v>1</v>
      </c>
      <c r="F95" s="13">
        <f t="shared" si="17"/>
        <v>0</v>
      </c>
      <c r="G95" s="13">
        <f t="shared" si="17"/>
        <v>0</v>
      </c>
      <c r="H95" s="13">
        <f t="shared" si="17"/>
        <v>2</v>
      </c>
      <c r="I95" s="13">
        <f t="shared" si="17"/>
        <v>2</v>
      </c>
      <c r="J95" s="13">
        <f t="shared" si="17"/>
        <v>2</v>
      </c>
      <c r="K95" s="13">
        <f t="shared" si="17"/>
        <v>2</v>
      </c>
      <c r="L95" s="13">
        <f t="shared" si="17"/>
        <v>2</v>
      </c>
      <c r="M95" s="13">
        <f t="shared" si="17"/>
        <v>0</v>
      </c>
      <c r="N95" s="13">
        <f t="shared" si="17"/>
        <v>0</v>
      </c>
      <c r="O95" s="13">
        <f t="shared" si="17"/>
        <v>1</v>
      </c>
      <c r="P95" s="13">
        <f t="shared" si="17"/>
        <v>1</v>
      </c>
      <c r="Q95" s="13">
        <f t="shared" si="17"/>
        <v>1</v>
      </c>
      <c r="R95" s="13">
        <f t="shared" si="17"/>
        <v>1</v>
      </c>
      <c r="S95" s="13">
        <f t="shared" si="17"/>
        <v>1</v>
      </c>
      <c r="T95" s="13">
        <f t="shared" si="17"/>
        <v>0</v>
      </c>
      <c r="U95" s="13">
        <f t="shared" si="17"/>
        <v>0</v>
      </c>
      <c r="V95" s="13">
        <f t="shared" si="17"/>
        <v>2</v>
      </c>
      <c r="W95" s="13">
        <f t="shared" si="17"/>
        <v>2</v>
      </c>
      <c r="X95" s="13">
        <f t="shared" si="17"/>
        <v>2</v>
      </c>
      <c r="Y95" s="13">
        <f t="shared" si="17"/>
        <v>2</v>
      </c>
      <c r="Z95" s="13">
        <f t="shared" si="17"/>
        <v>2</v>
      </c>
      <c r="AA95" s="13">
        <f t="shared" si="17"/>
        <v>0</v>
      </c>
      <c r="AB95" s="13">
        <f t="shared" si="17"/>
        <v>0</v>
      </c>
      <c r="AC95" s="13">
        <f t="shared" si="17"/>
        <v>1</v>
      </c>
      <c r="AD95" s="13">
        <f t="shared" si="17"/>
        <v>1</v>
      </c>
      <c r="AE95" s="13">
        <f t="shared" si="17"/>
        <v>1</v>
      </c>
      <c r="AF95" s="13">
        <f t="shared" si="17"/>
        <v>1</v>
      </c>
      <c r="AG95" s="13">
        <f t="shared" si="17"/>
        <v>1</v>
      </c>
    </row>
    <row r="96" spans="1:33" ht="18.75" customHeight="1" x14ac:dyDescent="0.2">
      <c r="A96" s="21" t="s">
        <v>38</v>
      </c>
      <c r="B96" s="18" t="s">
        <v>5</v>
      </c>
      <c r="C96" s="13" t="str">
        <f>C66</f>
        <v>O</v>
      </c>
      <c r="D96" s="13" t="str">
        <f t="shared" ref="D96:AG96" si="18">D66</f>
        <v/>
      </c>
      <c r="E96" s="13" t="str">
        <f t="shared" si="18"/>
        <v/>
      </c>
      <c r="F96" s="13" t="str">
        <f t="shared" si="18"/>
        <v/>
      </c>
      <c r="G96" s="13" t="str">
        <f t="shared" si="18"/>
        <v/>
      </c>
      <c r="H96" s="13" t="str">
        <f t="shared" si="18"/>
        <v/>
      </c>
      <c r="I96" s="13" t="str">
        <f t="shared" si="18"/>
        <v>O</v>
      </c>
      <c r="J96" s="13" t="str">
        <f t="shared" si="18"/>
        <v>O</v>
      </c>
      <c r="K96" s="13" t="str">
        <f t="shared" si="18"/>
        <v>O</v>
      </c>
      <c r="L96" s="13" t="str">
        <f t="shared" si="18"/>
        <v/>
      </c>
      <c r="M96" s="13" t="str">
        <f t="shared" si="18"/>
        <v/>
      </c>
      <c r="N96" s="13" t="str">
        <f t="shared" si="18"/>
        <v/>
      </c>
      <c r="O96" s="13" t="str">
        <f t="shared" si="18"/>
        <v/>
      </c>
      <c r="P96" s="13" t="str">
        <f t="shared" si="18"/>
        <v>O</v>
      </c>
      <c r="Q96" s="13" t="str">
        <f t="shared" si="18"/>
        <v>O</v>
      </c>
      <c r="R96" s="13" t="str">
        <f t="shared" si="18"/>
        <v>O</v>
      </c>
      <c r="S96" s="13" t="str">
        <f t="shared" si="18"/>
        <v/>
      </c>
      <c r="T96" s="13" t="str">
        <f t="shared" si="18"/>
        <v/>
      </c>
      <c r="U96" s="13" t="str">
        <f t="shared" si="18"/>
        <v/>
      </c>
      <c r="V96" s="13" t="str">
        <f t="shared" si="18"/>
        <v/>
      </c>
      <c r="W96" s="13" t="str">
        <f t="shared" si="18"/>
        <v>O</v>
      </c>
      <c r="X96" s="13" t="str">
        <f t="shared" si="18"/>
        <v>O</v>
      </c>
      <c r="Y96" s="13" t="str">
        <f t="shared" si="18"/>
        <v>O</v>
      </c>
      <c r="Z96" s="13" t="str">
        <f t="shared" si="18"/>
        <v/>
      </c>
      <c r="AA96" s="13" t="str">
        <f t="shared" si="18"/>
        <v/>
      </c>
      <c r="AB96" s="13" t="str">
        <f t="shared" si="18"/>
        <v/>
      </c>
      <c r="AC96" s="13" t="str">
        <f t="shared" si="18"/>
        <v/>
      </c>
      <c r="AD96" s="13" t="str">
        <f t="shared" si="18"/>
        <v/>
      </c>
      <c r="AE96" s="13" t="str">
        <f t="shared" si="18"/>
        <v/>
      </c>
      <c r="AF96" s="13" t="str">
        <f t="shared" si="18"/>
        <v/>
      </c>
      <c r="AG96" s="13" t="str">
        <f t="shared" si="18"/>
        <v/>
      </c>
    </row>
    <row r="97" spans="1:33" ht="18" x14ac:dyDescent="0.2">
      <c r="A97" s="21"/>
      <c r="B97" s="18" t="s">
        <v>6</v>
      </c>
      <c r="C97" s="19" t="s">
        <v>46</v>
      </c>
      <c r="D97" s="19" t="s">
        <v>46</v>
      </c>
      <c r="E97" s="19" t="s">
        <v>46</v>
      </c>
      <c r="F97" s="19" t="s">
        <v>46</v>
      </c>
      <c r="G97" s="19" t="s">
        <v>46</v>
      </c>
      <c r="H97" s="19" t="s">
        <v>46</v>
      </c>
      <c r="I97" s="19" t="s">
        <v>46</v>
      </c>
      <c r="J97" s="19" t="s">
        <v>46</v>
      </c>
      <c r="K97" s="19" t="s">
        <v>46</v>
      </c>
      <c r="L97" s="19" t="s">
        <v>46</v>
      </c>
      <c r="M97" s="19" t="s">
        <v>46</v>
      </c>
      <c r="N97" s="19" t="s">
        <v>46</v>
      </c>
      <c r="O97" s="19" t="s">
        <v>46</v>
      </c>
      <c r="P97" s="19" t="s">
        <v>46</v>
      </c>
      <c r="Q97" s="19" t="s">
        <v>46</v>
      </c>
      <c r="R97" s="19" t="s">
        <v>46</v>
      </c>
      <c r="S97" s="19" t="s">
        <v>46</v>
      </c>
      <c r="T97" s="19" t="s">
        <v>46</v>
      </c>
      <c r="U97" s="19" t="s">
        <v>46</v>
      </c>
      <c r="V97" s="19" t="s">
        <v>46</v>
      </c>
      <c r="W97" s="19" t="s">
        <v>46</v>
      </c>
      <c r="X97" s="19" t="s">
        <v>46</v>
      </c>
      <c r="Y97" s="19" t="s">
        <v>46</v>
      </c>
      <c r="Z97" s="19" t="s">
        <v>46</v>
      </c>
      <c r="AA97" s="19" t="s">
        <v>46</v>
      </c>
      <c r="AB97" s="19" t="s">
        <v>46</v>
      </c>
      <c r="AC97" s="19" t="s">
        <v>46</v>
      </c>
      <c r="AD97" s="19" t="s">
        <v>46</v>
      </c>
      <c r="AE97" s="19" t="s">
        <v>46</v>
      </c>
      <c r="AF97" s="19" t="s">
        <v>46</v>
      </c>
      <c r="AG97" s="19" t="s">
        <v>46</v>
      </c>
    </row>
    <row r="98" spans="1:33" ht="18" x14ac:dyDescent="0.2">
      <c r="A98" s="21"/>
      <c r="B98" s="18" t="s">
        <v>45</v>
      </c>
      <c r="C98" s="19" t="s">
        <v>46</v>
      </c>
      <c r="D98" s="19" t="s">
        <v>46</v>
      </c>
      <c r="E98" s="19" t="s">
        <v>46</v>
      </c>
      <c r="F98" s="19" t="s">
        <v>46</v>
      </c>
      <c r="G98" s="19" t="s">
        <v>46</v>
      </c>
      <c r="H98" s="19" t="s">
        <v>46</v>
      </c>
      <c r="I98" s="19" t="s">
        <v>46</v>
      </c>
      <c r="J98" s="19" t="s">
        <v>46</v>
      </c>
      <c r="K98" s="19" t="s">
        <v>46</v>
      </c>
      <c r="L98" s="19" t="s">
        <v>46</v>
      </c>
      <c r="M98" s="19" t="s">
        <v>46</v>
      </c>
      <c r="N98" s="19" t="s">
        <v>46</v>
      </c>
      <c r="O98" s="19" t="s">
        <v>46</v>
      </c>
      <c r="P98" s="19" t="s">
        <v>46</v>
      </c>
      <c r="Q98" s="19" t="s">
        <v>46</v>
      </c>
      <c r="R98" s="19" t="s">
        <v>46</v>
      </c>
      <c r="S98" s="19" t="s">
        <v>46</v>
      </c>
      <c r="T98" s="19" t="s">
        <v>46</v>
      </c>
      <c r="U98" s="19" t="s">
        <v>46</v>
      </c>
      <c r="V98" s="19" t="s">
        <v>46</v>
      </c>
      <c r="W98" s="19" t="s">
        <v>46</v>
      </c>
      <c r="X98" s="19" t="s">
        <v>46</v>
      </c>
      <c r="Y98" s="19" t="s">
        <v>46</v>
      </c>
      <c r="Z98" s="19" t="s">
        <v>46</v>
      </c>
      <c r="AA98" s="19" t="s">
        <v>46</v>
      </c>
      <c r="AB98" s="19" t="s">
        <v>46</v>
      </c>
      <c r="AC98" s="19" t="s">
        <v>46</v>
      </c>
      <c r="AD98" s="19" t="s">
        <v>46</v>
      </c>
      <c r="AE98" s="19" t="s">
        <v>46</v>
      </c>
      <c r="AF98" s="19" t="s">
        <v>46</v>
      </c>
      <c r="AG98" s="19" t="s">
        <v>46</v>
      </c>
    </row>
    <row r="99" spans="1:33" ht="18" x14ac:dyDescent="0.2">
      <c r="A99" s="21" t="s">
        <v>36</v>
      </c>
      <c r="B99" s="18" t="s">
        <v>5</v>
      </c>
      <c r="C99" s="19" t="str">
        <f>C96</f>
        <v>O</v>
      </c>
      <c r="D99" s="19" t="str">
        <f t="shared" ref="D99:AG99" si="19">D96</f>
        <v/>
      </c>
      <c r="E99" s="19" t="str">
        <f t="shared" si="19"/>
        <v/>
      </c>
      <c r="F99" s="19" t="str">
        <f t="shared" si="19"/>
        <v/>
      </c>
      <c r="G99" s="19" t="str">
        <f t="shared" si="19"/>
        <v/>
      </c>
      <c r="H99" s="19" t="str">
        <f t="shared" si="19"/>
        <v/>
      </c>
      <c r="I99" s="19" t="str">
        <f t="shared" si="19"/>
        <v>O</v>
      </c>
      <c r="J99" s="19" t="str">
        <f t="shared" si="19"/>
        <v>O</v>
      </c>
      <c r="K99" s="19" t="str">
        <f t="shared" si="19"/>
        <v>O</v>
      </c>
      <c r="L99" s="19" t="str">
        <f t="shared" si="19"/>
        <v/>
      </c>
      <c r="M99" s="19" t="str">
        <f t="shared" si="19"/>
        <v/>
      </c>
      <c r="N99" s="19" t="str">
        <f t="shared" si="19"/>
        <v/>
      </c>
      <c r="O99" s="19" t="str">
        <f t="shared" si="19"/>
        <v/>
      </c>
      <c r="P99" s="19" t="str">
        <f t="shared" si="19"/>
        <v>O</v>
      </c>
      <c r="Q99" s="19" t="str">
        <f t="shared" si="19"/>
        <v>O</v>
      </c>
      <c r="R99" s="19" t="str">
        <f t="shared" si="19"/>
        <v>O</v>
      </c>
      <c r="S99" s="19" t="str">
        <f t="shared" si="19"/>
        <v/>
      </c>
      <c r="T99" s="19" t="str">
        <f t="shared" si="19"/>
        <v/>
      </c>
      <c r="U99" s="19" t="str">
        <f t="shared" si="19"/>
        <v/>
      </c>
      <c r="V99" s="19" t="str">
        <f t="shared" si="19"/>
        <v/>
      </c>
      <c r="W99" s="19" t="str">
        <f t="shared" si="19"/>
        <v>O</v>
      </c>
      <c r="X99" s="19" t="str">
        <f t="shared" si="19"/>
        <v>O</v>
      </c>
      <c r="Y99" s="19" t="str">
        <f t="shared" si="19"/>
        <v>O</v>
      </c>
      <c r="Z99" s="19" t="str">
        <f t="shared" si="19"/>
        <v/>
      </c>
      <c r="AA99" s="19" t="str">
        <f t="shared" si="19"/>
        <v/>
      </c>
      <c r="AB99" s="19" t="str">
        <f t="shared" si="19"/>
        <v/>
      </c>
      <c r="AC99" s="19" t="str">
        <f t="shared" si="19"/>
        <v/>
      </c>
      <c r="AD99" s="19" t="str">
        <f t="shared" si="19"/>
        <v/>
      </c>
      <c r="AE99" s="19" t="str">
        <f t="shared" si="19"/>
        <v/>
      </c>
      <c r="AF99" s="19" t="str">
        <f t="shared" si="19"/>
        <v/>
      </c>
      <c r="AG99" s="19" t="str">
        <f t="shared" si="19"/>
        <v/>
      </c>
    </row>
    <row r="100" spans="1:33" ht="18" x14ac:dyDescent="0.2">
      <c r="A100" s="21"/>
      <c r="B100" s="18" t="s">
        <v>6</v>
      </c>
      <c r="C100" s="19" t="s">
        <v>46</v>
      </c>
      <c r="D100" s="19" t="s">
        <v>46</v>
      </c>
      <c r="E100" s="19" t="s">
        <v>46</v>
      </c>
      <c r="F100" s="19" t="s">
        <v>46</v>
      </c>
      <c r="G100" s="19" t="s">
        <v>46</v>
      </c>
      <c r="H100" s="19" t="s">
        <v>46</v>
      </c>
      <c r="I100" s="19" t="s">
        <v>46</v>
      </c>
      <c r="J100" s="19" t="s">
        <v>46</v>
      </c>
      <c r="K100" s="19" t="s">
        <v>46</v>
      </c>
      <c r="L100" s="19" t="s">
        <v>46</v>
      </c>
      <c r="M100" s="19" t="s">
        <v>46</v>
      </c>
      <c r="N100" s="19" t="s">
        <v>46</v>
      </c>
      <c r="O100" s="19" t="s">
        <v>46</v>
      </c>
      <c r="P100" s="19" t="s">
        <v>46</v>
      </c>
      <c r="Q100" s="19" t="s">
        <v>46</v>
      </c>
      <c r="R100" s="19" t="s">
        <v>46</v>
      </c>
      <c r="S100" s="19" t="s">
        <v>46</v>
      </c>
      <c r="T100" s="19" t="s">
        <v>46</v>
      </c>
      <c r="U100" s="19" t="s">
        <v>46</v>
      </c>
      <c r="V100" s="19" t="s">
        <v>46</v>
      </c>
      <c r="W100" s="19" t="s">
        <v>46</v>
      </c>
      <c r="X100" s="19" t="s">
        <v>46</v>
      </c>
      <c r="Y100" s="19" t="s">
        <v>46</v>
      </c>
      <c r="Z100" s="19" t="s">
        <v>46</v>
      </c>
      <c r="AA100" s="19" t="s">
        <v>46</v>
      </c>
      <c r="AB100" s="19" t="s">
        <v>46</v>
      </c>
      <c r="AC100" s="19" t="s">
        <v>46</v>
      </c>
      <c r="AD100" s="19" t="s">
        <v>46</v>
      </c>
      <c r="AE100" s="19" t="s">
        <v>46</v>
      </c>
      <c r="AF100" s="19" t="s">
        <v>46</v>
      </c>
      <c r="AG100" s="19" t="s">
        <v>46</v>
      </c>
    </row>
    <row r="101" spans="1:33" ht="18" x14ac:dyDescent="0.2">
      <c r="A101" s="21"/>
      <c r="B101" s="18" t="s">
        <v>45</v>
      </c>
      <c r="C101" s="19" t="s">
        <v>46</v>
      </c>
      <c r="D101" s="19" t="s">
        <v>46</v>
      </c>
      <c r="E101" s="19" t="s">
        <v>46</v>
      </c>
      <c r="F101" s="19" t="s">
        <v>46</v>
      </c>
      <c r="G101" s="19" t="s">
        <v>46</v>
      </c>
      <c r="H101" s="19" t="s">
        <v>46</v>
      </c>
      <c r="I101" s="19" t="s">
        <v>46</v>
      </c>
      <c r="J101" s="19" t="s">
        <v>46</v>
      </c>
      <c r="K101" s="19" t="s">
        <v>46</v>
      </c>
      <c r="L101" s="19" t="s">
        <v>46</v>
      </c>
      <c r="M101" s="19" t="s">
        <v>46</v>
      </c>
      <c r="N101" s="19" t="s">
        <v>46</v>
      </c>
      <c r="O101" s="19" t="s">
        <v>46</v>
      </c>
      <c r="P101" s="19" t="s">
        <v>46</v>
      </c>
      <c r="Q101" s="19" t="s">
        <v>46</v>
      </c>
      <c r="R101" s="19" t="s">
        <v>46</v>
      </c>
      <c r="S101" s="19" t="s">
        <v>46</v>
      </c>
      <c r="T101" s="19" t="s">
        <v>46</v>
      </c>
      <c r="U101" s="19" t="s">
        <v>46</v>
      </c>
      <c r="V101" s="19" t="s">
        <v>46</v>
      </c>
      <c r="W101" s="19" t="s">
        <v>46</v>
      </c>
      <c r="X101" s="19" t="s">
        <v>46</v>
      </c>
      <c r="Y101" s="19" t="s">
        <v>46</v>
      </c>
      <c r="Z101" s="19" t="s">
        <v>46</v>
      </c>
      <c r="AA101" s="19" t="s">
        <v>46</v>
      </c>
      <c r="AB101" s="19" t="s">
        <v>46</v>
      </c>
      <c r="AC101" s="19" t="s">
        <v>46</v>
      </c>
      <c r="AD101" s="19" t="s">
        <v>46</v>
      </c>
      <c r="AE101" s="19" t="s">
        <v>46</v>
      </c>
      <c r="AF101" s="19" t="s">
        <v>46</v>
      </c>
      <c r="AG101" s="19" t="s">
        <v>46</v>
      </c>
    </row>
    <row r="102" spans="1:33" ht="18" x14ac:dyDescent="0.2">
      <c r="A102" s="21" t="s">
        <v>37</v>
      </c>
      <c r="B102" s="18" t="s">
        <v>5</v>
      </c>
      <c r="C102" s="19" t="str">
        <f>C96</f>
        <v>O</v>
      </c>
      <c r="D102" s="19" t="str">
        <f t="shared" ref="D102:AG102" si="20">D96</f>
        <v/>
      </c>
      <c r="E102" s="19" t="str">
        <f t="shared" si="20"/>
        <v/>
      </c>
      <c r="F102" s="19" t="str">
        <f t="shared" si="20"/>
        <v/>
      </c>
      <c r="G102" s="19" t="str">
        <f t="shared" si="20"/>
        <v/>
      </c>
      <c r="H102" s="19" t="str">
        <f t="shared" si="20"/>
        <v/>
      </c>
      <c r="I102" s="19" t="str">
        <f t="shared" si="20"/>
        <v>O</v>
      </c>
      <c r="J102" s="19" t="str">
        <f t="shared" si="20"/>
        <v>O</v>
      </c>
      <c r="K102" s="19" t="str">
        <f t="shared" si="20"/>
        <v>O</v>
      </c>
      <c r="L102" s="19" t="str">
        <f t="shared" si="20"/>
        <v/>
      </c>
      <c r="M102" s="19" t="str">
        <f t="shared" si="20"/>
        <v/>
      </c>
      <c r="N102" s="19" t="str">
        <f t="shared" si="20"/>
        <v/>
      </c>
      <c r="O102" s="19" t="str">
        <f t="shared" si="20"/>
        <v/>
      </c>
      <c r="P102" s="19" t="str">
        <f t="shared" si="20"/>
        <v>O</v>
      </c>
      <c r="Q102" s="19" t="str">
        <f t="shared" si="20"/>
        <v>O</v>
      </c>
      <c r="R102" s="19" t="str">
        <f t="shared" si="20"/>
        <v>O</v>
      </c>
      <c r="S102" s="19" t="str">
        <f t="shared" si="20"/>
        <v/>
      </c>
      <c r="T102" s="19" t="str">
        <f t="shared" si="20"/>
        <v/>
      </c>
      <c r="U102" s="19" t="str">
        <f t="shared" si="20"/>
        <v/>
      </c>
      <c r="V102" s="19" t="str">
        <f t="shared" si="20"/>
        <v/>
      </c>
      <c r="W102" s="19" t="str">
        <f t="shared" si="20"/>
        <v>O</v>
      </c>
      <c r="X102" s="19" t="str">
        <f t="shared" si="20"/>
        <v>O</v>
      </c>
      <c r="Y102" s="19" t="str">
        <f t="shared" si="20"/>
        <v>O</v>
      </c>
      <c r="Z102" s="19" t="str">
        <f t="shared" si="20"/>
        <v/>
      </c>
      <c r="AA102" s="19" t="str">
        <f t="shared" si="20"/>
        <v/>
      </c>
      <c r="AB102" s="19" t="str">
        <f t="shared" si="20"/>
        <v/>
      </c>
      <c r="AC102" s="19" t="str">
        <f t="shared" si="20"/>
        <v/>
      </c>
      <c r="AD102" s="19" t="str">
        <f t="shared" si="20"/>
        <v/>
      </c>
      <c r="AE102" s="19" t="str">
        <f t="shared" si="20"/>
        <v/>
      </c>
      <c r="AF102" s="19" t="str">
        <f t="shared" si="20"/>
        <v/>
      </c>
      <c r="AG102" s="19" t="str">
        <f t="shared" si="20"/>
        <v/>
      </c>
    </row>
    <row r="103" spans="1:33" ht="18" x14ac:dyDescent="0.2">
      <c r="A103" s="21"/>
      <c r="B103" s="18" t="s">
        <v>6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spans="1:33" ht="18" x14ac:dyDescent="0.2">
      <c r="A104" s="21"/>
      <c r="B104" s="18" t="s">
        <v>45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spans="1:33" ht="18" customHeight="1" x14ac:dyDescent="0.2">
      <c r="A105" s="11" t="s">
        <v>0</v>
      </c>
      <c r="B105" s="12" t="s">
        <v>2</v>
      </c>
      <c r="C105" s="34" t="str">
        <f>C75</f>
        <v>เดือน สิงหาคม</v>
      </c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</row>
    <row r="106" spans="1:33" ht="18" x14ac:dyDescent="0.2">
      <c r="A106" s="14" t="s">
        <v>1</v>
      </c>
      <c r="B106" s="15" t="s">
        <v>3</v>
      </c>
      <c r="C106" s="13">
        <f>C76</f>
        <v>1</v>
      </c>
      <c r="D106" s="13">
        <f t="shared" ref="D106:AF106" si="21">D76</f>
        <v>2</v>
      </c>
      <c r="E106" s="13">
        <f t="shared" si="21"/>
        <v>3</v>
      </c>
      <c r="F106" s="13">
        <f t="shared" si="21"/>
        <v>4</v>
      </c>
      <c r="G106" s="13">
        <f t="shared" si="21"/>
        <v>5</v>
      </c>
      <c r="H106" s="13">
        <f t="shared" si="21"/>
        <v>6</v>
      </c>
      <c r="I106" s="13">
        <f t="shared" si="21"/>
        <v>7</v>
      </c>
      <c r="J106" s="13">
        <f t="shared" si="21"/>
        <v>8</v>
      </c>
      <c r="K106" s="13">
        <f t="shared" si="21"/>
        <v>9</v>
      </c>
      <c r="L106" s="13">
        <f t="shared" si="21"/>
        <v>10</v>
      </c>
      <c r="M106" s="13">
        <f t="shared" si="21"/>
        <v>11</v>
      </c>
      <c r="N106" s="13">
        <f t="shared" si="21"/>
        <v>12</v>
      </c>
      <c r="O106" s="13">
        <f t="shared" si="21"/>
        <v>13</v>
      </c>
      <c r="P106" s="13">
        <f t="shared" si="21"/>
        <v>14</v>
      </c>
      <c r="Q106" s="13">
        <f t="shared" si="21"/>
        <v>15</v>
      </c>
      <c r="R106" s="13">
        <f t="shared" si="21"/>
        <v>16</v>
      </c>
      <c r="S106" s="13">
        <f t="shared" si="21"/>
        <v>17</v>
      </c>
      <c r="T106" s="13">
        <f t="shared" si="21"/>
        <v>18</v>
      </c>
      <c r="U106" s="13">
        <f t="shared" si="21"/>
        <v>19</v>
      </c>
      <c r="V106" s="13">
        <f t="shared" si="21"/>
        <v>20</v>
      </c>
      <c r="W106" s="13">
        <f t="shared" si="21"/>
        <v>21</v>
      </c>
      <c r="X106" s="13">
        <f t="shared" si="21"/>
        <v>22</v>
      </c>
      <c r="Y106" s="13">
        <f t="shared" si="21"/>
        <v>23</v>
      </c>
      <c r="Z106" s="13">
        <f t="shared" si="21"/>
        <v>24</v>
      </c>
      <c r="AA106" s="13">
        <f t="shared" si="21"/>
        <v>25</v>
      </c>
      <c r="AB106" s="13">
        <f t="shared" si="21"/>
        <v>26</v>
      </c>
      <c r="AC106" s="13">
        <f t="shared" si="21"/>
        <v>27</v>
      </c>
      <c r="AD106" s="13">
        <f t="shared" si="21"/>
        <v>28</v>
      </c>
      <c r="AE106" s="13">
        <f t="shared" si="21"/>
        <v>29</v>
      </c>
      <c r="AF106" s="13">
        <f t="shared" si="21"/>
        <v>30</v>
      </c>
      <c r="AG106" s="13">
        <f>AG16</f>
        <v>31</v>
      </c>
    </row>
    <row r="107" spans="1:33" ht="18" x14ac:dyDescent="0.2">
      <c r="A107" s="16"/>
      <c r="B107" s="17" t="s">
        <v>4</v>
      </c>
      <c r="C107" s="13">
        <f>C77</f>
        <v>0</v>
      </c>
      <c r="D107" s="13">
        <f t="shared" ref="D107:AG107" si="22">D77</f>
        <v>0</v>
      </c>
      <c r="E107" s="13">
        <f t="shared" si="22"/>
        <v>2</v>
      </c>
      <c r="F107" s="13">
        <f t="shared" si="22"/>
        <v>2</v>
      </c>
      <c r="G107" s="13">
        <f t="shared" si="22"/>
        <v>2</v>
      </c>
      <c r="H107" s="13">
        <f t="shared" si="22"/>
        <v>2</v>
      </c>
      <c r="I107" s="13">
        <f t="shared" si="22"/>
        <v>2</v>
      </c>
      <c r="J107" s="13">
        <f t="shared" si="22"/>
        <v>0</v>
      </c>
      <c r="K107" s="13">
        <f t="shared" si="22"/>
        <v>0</v>
      </c>
      <c r="L107" s="13">
        <f t="shared" si="22"/>
        <v>1</v>
      </c>
      <c r="M107" s="13">
        <f t="shared" si="22"/>
        <v>1</v>
      </c>
      <c r="N107" s="13">
        <f t="shared" si="22"/>
        <v>1</v>
      </c>
      <c r="O107" s="13">
        <f t="shared" si="22"/>
        <v>1</v>
      </c>
      <c r="P107" s="13">
        <f t="shared" si="22"/>
        <v>1</v>
      </c>
      <c r="Q107" s="13">
        <f t="shared" si="22"/>
        <v>0</v>
      </c>
      <c r="R107" s="13">
        <f t="shared" si="22"/>
        <v>0</v>
      </c>
      <c r="S107" s="13">
        <f t="shared" si="22"/>
        <v>2</v>
      </c>
      <c r="T107" s="13">
        <f t="shared" si="22"/>
        <v>2</v>
      </c>
      <c r="U107" s="13">
        <f t="shared" si="22"/>
        <v>2</v>
      </c>
      <c r="V107" s="13">
        <f t="shared" si="22"/>
        <v>2</v>
      </c>
      <c r="W107" s="13">
        <f t="shared" si="22"/>
        <v>2</v>
      </c>
      <c r="X107" s="13">
        <f t="shared" si="22"/>
        <v>0</v>
      </c>
      <c r="Y107" s="13">
        <f t="shared" si="22"/>
        <v>0</v>
      </c>
      <c r="Z107" s="13">
        <f t="shared" si="22"/>
        <v>1</v>
      </c>
      <c r="AA107" s="13">
        <f t="shared" si="22"/>
        <v>1</v>
      </c>
      <c r="AB107" s="13">
        <f t="shared" si="22"/>
        <v>1</v>
      </c>
      <c r="AC107" s="13">
        <f t="shared" si="22"/>
        <v>1</v>
      </c>
      <c r="AD107" s="13">
        <f t="shared" si="22"/>
        <v>1</v>
      </c>
      <c r="AE107" s="13">
        <f t="shared" si="22"/>
        <v>0</v>
      </c>
      <c r="AF107" s="13">
        <f t="shared" si="22"/>
        <v>0</v>
      </c>
      <c r="AG107" s="13">
        <f t="shared" si="22"/>
        <v>2</v>
      </c>
    </row>
    <row r="108" spans="1:33" ht="18.75" customHeight="1" x14ac:dyDescent="0.2">
      <c r="A108" s="21" t="str">
        <f>IF(A96="","",A96)</f>
        <v>บันทึกความดันห้อง (เกณฑ์ 0.11-0.15) (ทุกวันที่บรรจุ)</v>
      </c>
      <c r="B108" s="18" t="s">
        <v>5</v>
      </c>
      <c r="C108" s="13" t="str">
        <f>C78</f>
        <v/>
      </c>
      <c r="D108" s="13" t="str">
        <f t="shared" ref="D108:AG108" si="23">D78</f>
        <v/>
      </c>
      <c r="E108" s="13" t="str">
        <f t="shared" si="23"/>
        <v/>
      </c>
      <c r="F108" s="13" t="str">
        <f t="shared" si="23"/>
        <v>O</v>
      </c>
      <c r="G108" s="13" t="str">
        <f t="shared" si="23"/>
        <v>O</v>
      </c>
      <c r="H108" s="13" t="str">
        <f t="shared" si="23"/>
        <v>O</v>
      </c>
      <c r="I108" s="13" t="str">
        <f t="shared" si="23"/>
        <v/>
      </c>
      <c r="J108" s="13" t="str">
        <f t="shared" si="23"/>
        <v/>
      </c>
      <c r="K108" s="13" t="str">
        <f t="shared" si="23"/>
        <v/>
      </c>
      <c r="L108" s="13" t="str">
        <f t="shared" si="23"/>
        <v/>
      </c>
      <c r="M108" s="13" t="str">
        <f t="shared" si="23"/>
        <v/>
      </c>
      <c r="N108" s="13" t="str">
        <f t="shared" si="23"/>
        <v/>
      </c>
      <c r="O108" s="13" t="str">
        <f t="shared" si="23"/>
        <v>O</v>
      </c>
      <c r="P108" s="13" t="str">
        <f t="shared" si="23"/>
        <v>O</v>
      </c>
      <c r="Q108" s="13" t="str">
        <f t="shared" si="23"/>
        <v/>
      </c>
      <c r="R108" s="13" t="str">
        <f t="shared" si="23"/>
        <v/>
      </c>
      <c r="S108" s="13" t="str">
        <f t="shared" si="23"/>
        <v/>
      </c>
      <c r="T108" s="13" t="str">
        <f t="shared" si="23"/>
        <v>O</v>
      </c>
      <c r="U108" s="13" t="str">
        <f t="shared" si="23"/>
        <v>O</v>
      </c>
      <c r="V108" s="13" t="str">
        <f t="shared" si="23"/>
        <v>O</v>
      </c>
      <c r="W108" s="13" t="str">
        <f t="shared" si="23"/>
        <v/>
      </c>
      <c r="X108" s="13" t="str">
        <f t="shared" si="23"/>
        <v/>
      </c>
      <c r="Y108" s="13" t="str">
        <f t="shared" si="23"/>
        <v/>
      </c>
      <c r="Z108" s="13" t="str">
        <f t="shared" si="23"/>
        <v/>
      </c>
      <c r="AA108" s="13" t="str">
        <f t="shared" si="23"/>
        <v>O</v>
      </c>
      <c r="AB108" s="13" t="str">
        <f t="shared" si="23"/>
        <v>O</v>
      </c>
      <c r="AC108" s="13" t="str">
        <f t="shared" si="23"/>
        <v/>
      </c>
      <c r="AD108" s="13" t="str">
        <f t="shared" si="23"/>
        <v/>
      </c>
      <c r="AE108" s="13" t="str">
        <f t="shared" si="23"/>
        <v/>
      </c>
      <c r="AF108" s="13" t="str">
        <f t="shared" si="23"/>
        <v/>
      </c>
      <c r="AG108" s="13" t="str">
        <f t="shared" si="23"/>
        <v/>
      </c>
    </row>
    <row r="109" spans="1:33" ht="18" x14ac:dyDescent="0.2">
      <c r="A109" s="21"/>
      <c r="B109" s="18" t="s">
        <v>6</v>
      </c>
      <c r="C109" s="19" t="s">
        <v>46</v>
      </c>
      <c r="D109" s="19" t="s">
        <v>46</v>
      </c>
      <c r="E109" s="19" t="s">
        <v>46</v>
      </c>
      <c r="F109" s="19" t="s">
        <v>46</v>
      </c>
      <c r="G109" s="19" t="s">
        <v>46</v>
      </c>
      <c r="H109" s="19" t="s">
        <v>46</v>
      </c>
      <c r="I109" s="19" t="s">
        <v>46</v>
      </c>
      <c r="J109" s="19" t="s">
        <v>46</v>
      </c>
      <c r="K109" s="19" t="s">
        <v>46</v>
      </c>
      <c r="L109" s="19" t="s">
        <v>46</v>
      </c>
      <c r="M109" s="19" t="s">
        <v>46</v>
      </c>
      <c r="N109" s="19" t="s">
        <v>46</v>
      </c>
      <c r="O109" s="19" t="s">
        <v>46</v>
      </c>
      <c r="P109" s="19" t="s">
        <v>46</v>
      </c>
      <c r="Q109" s="19" t="s">
        <v>46</v>
      </c>
      <c r="R109" s="19" t="s">
        <v>46</v>
      </c>
      <c r="S109" s="19" t="s">
        <v>46</v>
      </c>
      <c r="T109" s="19" t="s">
        <v>46</v>
      </c>
      <c r="U109" s="19" t="s">
        <v>46</v>
      </c>
      <c r="V109" s="19" t="s">
        <v>46</v>
      </c>
      <c r="W109" s="19" t="s">
        <v>46</v>
      </c>
      <c r="X109" s="19" t="s">
        <v>46</v>
      </c>
      <c r="Y109" s="19" t="s">
        <v>46</v>
      </c>
      <c r="Z109" s="19" t="s">
        <v>46</v>
      </c>
      <c r="AA109" s="19" t="s">
        <v>46</v>
      </c>
      <c r="AB109" s="19" t="s">
        <v>46</v>
      </c>
      <c r="AC109" s="19" t="s">
        <v>46</v>
      </c>
      <c r="AD109" s="19" t="s">
        <v>46</v>
      </c>
      <c r="AE109" s="19" t="s">
        <v>46</v>
      </c>
      <c r="AF109" s="19" t="s">
        <v>46</v>
      </c>
      <c r="AG109" s="19" t="s">
        <v>46</v>
      </c>
    </row>
    <row r="110" spans="1:33" ht="18" x14ac:dyDescent="0.2">
      <c r="A110" s="21"/>
      <c r="B110" s="18" t="s">
        <v>45</v>
      </c>
      <c r="C110" s="19" t="s">
        <v>46</v>
      </c>
      <c r="D110" s="19" t="s">
        <v>46</v>
      </c>
      <c r="E110" s="19" t="s">
        <v>46</v>
      </c>
      <c r="F110" s="19" t="s">
        <v>46</v>
      </c>
      <c r="G110" s="19" t="s">
        <v>46</v>
      </c>
      <c r="H110" s="19" t="s">
        <v>46</v>
      </c>
      <c r="I110" s="19" t="s">
        <v>46</v>
      </c>
      <c r="J110" s="19" t="s">
        <v>46</v>
      </c>
      <c r="K110" s="19" t="s">
        <v>46</v>
      </c>
      <c r="L110" s="19" t="s">
        <v>46</v>
      </c>
      <c r="M110" s="19" t="s">
        <v>46</v>
      </c>
      <c r="N110" s="19" t="s">
        <v>46</v>
      </c>
      <c r="O110" s="19" t="s">
        <v>46</v>
      </c>
      <c r="P110" s="19" t="s">
        <v>46</v>
      </c>
      <c r="Q110" s="19" t="s">
        <v>46</v>
      </c>
      <c r="R110" s="19" t="s">
        <v>46</v>
      </c>
      <c r="S110" s="19" t="s">
        <v>46</v>
      </c>
      <c r="T110" s="19" t="s">
        <v>46</v>
      </c>
      <c r="U110" s="19" t="s">
        <v>46</v>
      </c>
      <c r="V110" s="19" t="s">
        <v>46</v>
      </c>
      <c r="W110" s="19" t="s">
        <v>46</v>
      </c>
      <c r="X110" s="19" t="s">
        <v>46</v>
      </c>
      <c r="Y110" s="19" t="s">
        <v>46</v>
      </c>
      <c r="Z110" s="19" t="s">
        <v>46</v>
      </c>
      <c r="AA110" s="19" t="s">
        <v>46</v>
      </c>
      <c r="AB110" s="19" t="s">
        <v>46</v>
      </c>
      <c r="AC110" s="19" t="s">
        <v>46</v>
      </c>
      <c r="AD110" s="19" t="s">
        <v>46</v>
      </c>
      <c r="AE110" s="19" t="s">
        <v>46</v>
      </c>
      <c r="AF110" s="19" t="s">
        <v>46</v>
      </c>
      <c r="AG110" s="19" t="s">
        <v>46</v>
      </c>
    </row>
    <row r="111" spans="1:33" ht="18" x14ac:dyDescent="0.2">
      <c r="A111" s="21" t="str">
        <f>IF(A99="","",A99)</f>
        <v>บันทึกอุณหภูมิ (เกณฑ์ 18-24 C) (ทุกวันที่บรรจุ)</v>
      </c>
      <c r="B111" s="18" t="s">
        <v>5</v>
      </c>
      <c r="C111" s="19" t="str">
        <f>C108</f>
        <v/>
      </c>
      <c r="D111" s="19" t="str">
        <f t="shared" ref="D111:AG111" si="24">D108</f>
        <v/>
      </c>
      <c r="E111" s="19" t="str">
        <f t="shared" si="24"/>
        <v/>
      </c>
      <c r="F111" s="19" t="str">
        <f t="shared" si="24"/>
        <v>O</v>
      </c>
      <c r="G111" s="19" t="str">
        <f t="shared" si="24"/>
        <v>O</v>
      </c>
      <c r="H111" s="19" t="str">
        <f t="shared" si="24"/>
        <v>O</v>
      </c>
      <c r="I111" s="19" t="str">
        <f t="shared" si="24"/>
        <v/>
      </c>
      <c r="J111" s="19" t="str">
        <f t="shared" si="24"/>
        <v/>
      </c>
      <c r="K111" s="19" t="str">
        <f t="shared" si="24"/>
        <v/>
      </c>
      <c r="L111" s="19" t="str">
        <f t="shared" si="24"/>
        <v/>
      </c>
      <c r="M111" s="19" t="str">
        <f t="shared" si="24"/>
        <v/>
      </c>
      <c r="N111" s="19" t="str">
        <f t="shared" si="24"/>
        <v/>
      </c>
      <c r="O111" s="19" t="str">
        <f t="shared" si="24"/>
        <v>O</v>
      </c>
      <c r="P111" s="19" t="str">
        <f t="shared" si="24"/>
        <v>O</v>
      </c>
      <c r="Q111" s="19" t="str">
        <f t="shared" si="24"/>
        <v/>
      </c>
      <c r="R111" s="19" t="str">
        <f t="shared" si="24"/>
        <v/>
      </c>
      <c r="S111" s="19" t="str">
        <f t="shared" si="24"/>
        <v/>
      </c>
      <c r="T111" s="19" t="str">
        <f t="shared" si="24"/>
        <v>O</v>
      </c>
      <c r="U111" s="19" t="str">
        <f t="shared" si="24"/>
        <v>O</v>
      </c>
      <c r="V111" s="19" t="str">
        <f t="shared" si="24"/>
        <v>O</v>
      </c>
      <c r="W111" s="19" t="str">
        <f t="shared" si="24"/>
        <v/>
      </c>
      <c r="X111" s="19" t="str">
        <f t="shared" si="24"/>
        <v/>
      </c>
      <c r="Y111" s="19" t="str">
        <f t="shared" si="24"/>
        <v/>
      </c>
      <c r="Z111" s="19" t="str">
        <f t="shared" si="24"/>
        <v/>
      </c>
      <c r="AA111" s="19" t="str">
        <f t="shared" si="24"/>
        <v>O</v>
      </c>
      <c r="AB111" s="19" t="str">
        <f t="shared" si="24"/>
        <v>O</v>
      </c>
      <c r="AC111" s="19" t="str">
        <f t="shared" si="24"/>
        <v/>
      </c>
      <c r="AD111" s="19" t="str">
        <f t="shared" si="24"/>
        <v/>
      </c>
      <c r="AE111" s="19" t="str">
        <f t="shared" si="24"/>
        <v/>
      </c>
      <c r="AF111" s="19" t="str">
        <f t="shared" si="24"/>
        <v/>
      </c>
      <c r="AG111" s="19" t="str">
        <f t="shared" si="24"/>
        <v/>
      </c>
    </row>
    <row r="112" spans="1:33" ht="18" x14ac:dyDescent="0.2">
      <c r="A112" s="21"/>
      <c r="B112" s="18" t="s">
        <v>6</v>
      </c>
      <c r="C112" s="19" t="s">
        <v>46</v>
      </c>
      <c r="D112" s="19" t="s">
        <v>46</v>
      </c>
      <c r="E112" s="19" t="s">
        <v>46</v>
      </c>
      <c r="F112" s="19" t="s">
        <v>46</v>
      </c>
      <c r="G112" s="19" t="s">
        <v>46</v>
      </c>
      <c r="H112" s="19" t="s">
        <v>46</v>
      </c>
      <c r="I112" s="19" t="s">
        <v>46</v>
      </c>
      <c r="J112" s="19" t="s">
        <v>46</v>
      </c>
      <c r="K112" s="19" t="s">
        <v>46</v>
      </c>
      <c r="L112" s="19" t="s">
        <v>46</v>
      </c>
      <c r="M112" s="19" t="s">
        <v>46</v>
      </c>
      <c r="N112" s="19" t="s">
        <v>46</v>
      </c>
      <c r="O112" s="19" t="s">
        <v>46</v>
      </c>
      <c r="P112" s="19" t="s">
        <v>46</v>
      </c>
      <c r="Q112" s="19" t="s">
        <v>46</v>
      </c>
      <c r="R112" s="19" t="s">
        <v>46</v>
      </c>
      <c r="S112" s="19" t="s">
        <v>46</v>
      </c>
      <c r="T112" s="19" t="s">
        <v>46</v>
      </c>
      <c r="U112" s="19" t="s">
        <v>46</v>
      </c>
      <c r="V112" s="19" t="s">
        <v>46</v>
      </c>
      <c r="W112" s="19" t="s">
        <v>46</v>
      </c>
      <c r="X112" s="19" t="s">
        <v>46</v>
      </c>
      <c r="Y112" s="19" t="s">
        <v>46</v>
      </c>
      <c r="Z112" s="19" t="s">
        <v>46</v>
      </c>
      <c r="AA112" s="19" t="s">
        <v>46</v>
      </c>
      <c r="AB112" s="19" t="s">
        <v>46</v>
      </c>
      <c r="AC112" s="19" t="s">
        <v>46</v>
      </c>
      <c r="AD112" s="19" t="s">
        <v>46</v>
      </c>
      <c r="AE112" s="19" t="s">
        <v>46</v>
      </c>
      <c r="AF112" s="19" t="s">
        <v>46</v>
      </c>
      <c r="AG112" s="19" t="s">
        <v>46</v>
      </c>
    </row>
    <row r="113" spans="1:33" ht="18" x14ac:dyDescent="0.2">
      <c r="A113" s="21"/>
      <c r="B113" s="18" t="s">
        <v>45</v>
      </c>
      <c r="C113" s="19" t="s">
        <v>46</v>
      </c>
      <c r="D113" s="19" t="s">
        <v>46</v>
      </c>
      <c r="E113" s="19" t="s">
        <v>46</v>
      </c>
      <c r="F113" s="19" t="s">
        <v>46</v>
      </c>
      <c r="G113" s="19" t="s">
        <v>46</v>
      </c>
      <c r="H113" s="19" t="s">
        <v>46</v>
      </c>
      <c r="I113" s="19" t="s">
        <v>46</v>
      </c>
      <c r="J113" s="19" t="s">
        <v>46</v>
      </c>
      <c r="K113" s="19" t="s">
        <v>46</v>
      </c>
      <c r="L113" s="19" t="s">
        <v>46</v>
      </c>
      <c r="M113" s="19" t="s">
        <v>46</v>
      </c>
      <c r="N113" s="19" t="s">
        <v>46</v>
      </c>
      <c r="O113" s="19" t="s">
        <v>46</v>
      </c>
      <c r="P113" s="19" t="s">
        <v>46</v>
      </c>
      <c r="Q113" s="19" t="s">
        <v>46</v>
      </c>
      <c r="R113" s="19" t="s">
        <v>46</v>
      </c>
      <c r="S113" s="19" t="s">
        <v>46</v>
      </c>
      <c r="T113" s="19" t="s">
        <v>46</v>
      </c>
      <c r="U113" s="19" t="s">
        <v>46</v>
      </c>
      <c r="V113" s="19" t="s">
        <v>46</v>
      </c>
      <c r="W113" s="19" t="s">
        <v>46</v>
      </c>
      <c r="X113" s="19" t="s">
        <v>46</v>
      </c>
      <c r="Y113" s="19" t="s">
        <v>46</v>
      </c>
      <c r="Z113" s="19" t="s">
        <v>46</v>
      </c>
      <c r="AA113" s="19" t="s">
        <v>46</v>
      </c>
      <c r="AB113" s="19" t="s">
        <v>46</v>
      </c>
      <c r="AC113" s="19" t="s">
        <v>46</v>
      </c>
      <c r="AD113" s="19" t="s">
        <v>46</v>
      </c>
      <c r="AE113" s="19" t="s">
        <v>46</v>
      </c>
      <c r="AF113" s="19" t="s">
        <v>46</v>
      </c>
      <c r="AG113" s="19" t="s">
        <v>46</v>
      </c>
    </row>
    <row r="114" spans="1:33" ht="18" x14ac:dyDescent="0.2">
      <c r="A114" s="21" t="str">
        <f>IF(A102="","",A102)</f>
        <v>บันทึกความชื้นห้อง (เกณฑ์ 40-60%RH) (ทุกวันที่บรรจุ)</v>
      </c>
      <c r="B114" s="18" t="s">
        <v>5</v>
      </c>
      <c r="C114" s="19" t="str">
        <f>C111</f>
        <v/>
      </c>
      <c r="D114" s="19" t="str">
        <f t="shared" ref="D114:AG114" si="25">D111</f>
        <v/>
      </c>
      <c r="E114" s="19" t="str">
        <f t="shared" si="25"/>
        <v/>
      </c>
      <c r="F114" s="19" t="str">
        <f t="shared" si="25"/>
        <v>O</v>
      </c>
      <c r="G114" s="19" t="str">
        <f t="shared" si="25"/>
        <v>O</v>
      </c>
      <c r="H114" s="19" t="str">
        <f t="shared" si="25"/>
        <v>O</v>
      </c>
      <c r="I114" s="19" t="str">
        <f t="shared" si="25"/>
        <v/>
      </c>
      <c r="J114" s="19" t="str">
        <f t="shared" si="25"/>
        <v/>
      </c>
      <c r="K114" s="19" t="str">
        <f t="shared" si="25"/>
        <v/>
      </c>
      <c r="L114" s="19" t="str">
        <f t="shared" si="25"/>
        <v/>
      </c>
      <c r="M114" s="19" t="str">
        <f t="shared" si="25"/>
        <v/>
      </c>
      <c r="N114" s="19" t="str">
        <f t="shared" si="25"/>
        <v/>
      </c>
      <c r="O114" s="19" t="str">
        <f t="shared" si="25"/>
        <v>O</v>
      </c>
      <c r="P114" s="19" t="str">
        <f t="shared" si="25"/>
        <v>O</v>
      </c>
      <c r="Q114" s="19" t="str">
        <f t="shared" si="25"/>
        <v/>
      </c>
      <c r="R114" s="19" t="str">
        <f t="shared" si="25"/>
        <v/>
      </c>
      <c r="S114" s="19" t="str">
        <f t="shared" si="25"/>
        <v/>
      </c>
      <c r="T114" s="19" t="str">
        <f t="shared" si="25"/>
        <v>O</v>
      </c>
      <c r="U114" s="19" t="str">
        <f t="shared" si="25"/>
        <v>O</v>
      </c>
      <c r="V114" s="19" t="str">
        <f t="shared" si="25"/>
        <v>O</v>
      </c>
      <c r="W114" s="19" t="str">
        <f t="shared" si="25"/>
        <v/>
      </c>
      <c r="X114" s="19" t="str">
        <f t="shared" si="25"/>
        <v/>
      </c>
      <c r="Y114" s="19" t="str">
        <f t="shared" si="25"/>
        <v/>
      </c>
      <c r="Z114" s="19" t="str">
        <f t="shared" si="25"/>
        <v/>
      </c>
      <c r="AA114" s="19" t="str">
        <f t="shared" si="25"/>
        <v>O</v>
      </c>
      <c r="AB114" s="19" t="str">
        <f t="shared" si="25"/>
        <v>O</v>
      </c>
      <c r="AC114" s="19" t="str">
        <f t="shared" si="25"/>
        <v/>
      </c>
      <c r="AD114" s="19" t="str">
        <f t="shared" si="25"/>
        <v/>
      </c>
      <c r="AE114" s="19" t="str">
        <f t="shared" si="25"/>
        <v/>
      </c>
      <c r="AF114" s="19" t="str">
        <f t="shared" si="25"/>
        <v/>
      </c>
      <c r="AG114" s="19" t="str">
        <f t="shared" si="25"/>
        <v/>
      </c>
    </row>
    <row r="115" spans="1:33" ht="18" x14ac:dyDescent="0.2">
      <c r="A115" s="21"/>
      <c r="B115" s="18" t="s">
        <v>6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spans="1:33" ht="18" x14ac:dyDescent="0.2">
      <c r="A116" s="21"/>
      <c r="B116" s="18" t="s">
        <v>45</v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spans="1:33" ht="18" x14ac:dyDescent="0.4">
      <c r="A117" s="4" t="s">
        <v>13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22" t="s">
        <v>22</v>
      </c>
      <c r="X117" s="22"/>
      <c r="Y117" s="22"/>
      <c r="Z117" s="22"/>
      <c r="AA117" s="22"/>
      <c r="AB117" s="22"/>
      <c r="AC117" s="22"/>
      <c r="AD117" s="9"/>
      <c r="AE117" s="9"/>
      <c r="AF117" s="9"/>
      <c r="AG117" s="9"/>
    </row>
    <row r="118" spans="1:33" ht="18" x14ac:dyDescent="0.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spans="1:33" ht="18" x14ac:dyDescent="0.4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3" t="s">
        <v>12</v>
      </c>
      <c r="Q119" s="23"/>
      <c r="R119" s="20" t="str">
        <f>IF(R89=0,"",R89)</f>
        <v>พีรวัส</v>
      </c>
      <c r="S119" s="20"/>
      <c r="T119" s="20"/>
      <c r="U119" s="23" t="s">
        <v>47</v>
      </c>
      <c r="V119" s="23"/>
      <c r="W119" s="20" t="str">
        <f>IF(W89=0,"",W89)</f>
        <v>วรพงศ์</v>
      </c>
      <c r="X119" s="20"/>
      <c r="Y119" s="20"/>
      <c r="Z119" s="7" t="s">
        <v>14</v>
      </c>
      <c r="AA119" s="24">
        <f>IF(AA89=0,"",AA89)</f>
        <v>244531</v>
      </c>
      <c r="AB119" s="20"/>
      <c r="AC119" s="20"/>
      <c r="AD119" s="8"/>
      <c r="AE119" s="20"/>
      <c r="AF119" s="20"/>
      <c r="AG119" s="20"/>
    </row>
  </sheetData>
  <mergeCells count="88">
    <mergeCell ref="AE119:AG119"/>
    <mergeCell ref="A111:A113"/>
    <mergeCell ref="A114:A116"/>
    <mergeCell ref="W117:AC117"/>
    <mergeCell ref="P119:Q119"/>
    <mergeCell ref="R119:T119"/>
    <mergeCell ref="U119:V119"/>
    <mergeCell ref="W119:Y119"/>
    <mergeCell ref="AA119:AC119"/>
    <mergeCell ref="A108:A110"/>
    <mergeCell ref="AE89:AG89"/>
    <mergeCell ref="A91:AG91"/>
    <mergeCell ref="B92:G92"/>
    <mergeCell ref="I92:L92"/>
    <mergeCell ref="M92:N92"/>
    <mergeCell ref="O92:S92"/>
    <mergeCell ref="U92:V92"/>
    <mergeCell ref="W92:Y92"/>
    <mergeCell ref="C93:AG93"/>
    <mergeCell ref="A96:A98"/>
    <mergeCell ref="A99:A101"/>
    <mergeCell ref="A102:A104"/>
    <mergeCell ref="C105:AG105"/>
    <mergeCell ref="A81:A83"/>
    <mergeCell ref="A84:A86"/>
    <mergeCell ref="W87:AC87"/>
    <mergeCell ref="P89:Q89"/>
    <mergeCell ref="R89:T89"/>
    <mergeCell ref="U89:V89"/>
    <mergeCell ref="W89:Y89"/>
    <mergeCell ref="AA89:AC89"/>
    <mergeCell ref="C63:AG63"/>
    <mergeCell ref="A66:A68"/>
    <mergeCell ref="A69:A71"/>
    <mergeCell ref="A72:A74"/>
    <mergeCell ref="C75:AG75"/>
    <mergeCell ref="A78:A80"/>
    <mergeCell ref="A1:AG1"/>
    <mergeCell ref="A61:AG61"/>
    <mergeCell ref="B62:G62"/>
    <mergeCell ref="I62:L62"/>
    <mergeCell ref="M62:N62"/>
    <mergeCell ref="O62:S62"/>
    <mergeCell ref="U62:V62"/>
    <mergeCell ref="W62:Y62"/>
    <mergeCell ref="AE59:AG59"/>
    <mergeCell ref="U2:V2"/>
    <mergeCell ref="W2:Y2"/>
    <mergeCell ref="I32:L32"/>
    <mergeCell ref="M32:N32"/>
    <mergeCell ref="O32:S32"/>
    <mergeCell ref="U32:V32"/>
    <mergeCell ref="W32:Y32"/>
    <mergeCell ref="A51:A53"/>
    <mergeCell ref="A54:A56"/>
    <mergeCell ref="W57:AC57"/>
    <mergeCell ref="P59:Q59"/>
    <mergeCell ref="R59:T59"/>
    <mergeCell ref="U59:V59"/>
    <mergeCell ref="W59:Y59"/>
    <mergeCell ref="AA59:AC59"/>
    <mergeCell ref="A48:A50"/>
    <mergeCell ref="B32:G32"/>
    <mergeCell ref="A36:A38"/>
    <mergeCell ref="A39:A41"/>
    <mergeCell ref="A42:A44"/>
    <mergeCell ref="C45:AG45"/>
    <mergeCell ref="W29:Y29"/>
    <mergeCell ref="AA29:AC29"/>
    <mergeCell ref="A6:A8"/>
    <mergeCell ref="A9:A11"/>
    <mergeCell ref="A12:A14"/>
    <mergeCell ref="B2:G2"/>
    <mergeCell ref="I2:L2"/>
    <mergeCell ref="M2:N2"/>
    <mergeCell ref="O2:S2"/>
    <mergeCell ref="C33:AG33"/>
    <mergeCell ref="A31:AG31"/>
    <mergeCell ref="C3:AG3"/>
    <mergeCell ref="C15:AG15"/>
    <mergeCell ref="A18:A20"/>
    <mergeCell ref="A21:A23"/>
    <mergeCell ref="A24:A26"/>
    <mergeCell ref="AE29:AG29"/>
    <mergeCell ref="W27:AC27"/>
    <mergeCell ref="P29:Q29"/>
    <mergeCell ref="R29:T29"/>
    <mergeCell ref="U29:V29"/>
  </mergeCells>
  <phoneticPr fontId="10" type="noConversion"/>
  <conditionalFormatting sqref="C1:AG3 C5:AG1048576">
    <cfRule type="cellIs" dxfId="5" priority="4" operator="equal">
      <formula>0</formula>
    </cfRule>
  </conditionalFormatting>
  <conditionalFormatting sqref="C4:AG4">
    <cfRule type="cellIs" dxfId="4" priority="1" operator="equal">
      <formula>0</formula>
    </cfRule>
  </conditionalFormatting>
  <conditionalFormatting sqref="AE4:AG4">
    <cfRule type="cellIs" dxfId="3" priority="2" operator="equal">
      <formula>0</formula>
    </cfRule>
    <cfRule type="cellIs" dxfId="2" priority="3" operator="equal">
      <formula>0</formula>
    </cfRule>
  </conditionalFormatting>
  <pageMargins left="0.27559055118110237" right="0.27559055118110237" top="0.23622047244094491" bottom="0.39370078740157483" header="0.23622047244094491" footer="0.15748031496062992"/>
  <pageSetup paperSize="9" scale="93" orientation="landscape" r:id="rId1"/>
  <headerFooter>
    <oddFooter>&amp;L&amp;"Angsana New,Regular"&amp;10แบบฟอร์มเลขที่ BWI 021/002&amp;R&amp;"Angsana New,Regular"&amp;10                แก้ไขครั้งที่ 01/0150</oddFooter>
  </headerFooter>
  <rowBreaks count="3" manualBreakCount="3">
    <brk id="30" max="32" man="1"/>
    <brk id="60" max="32" man="1"/>
    <brk id="90" max="32" man="1"/>
  </rowBreaks>
  <colBreaks count="1" manualBreakCount="1">
    <brk id="33" max="1048575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3491B1-A63C-4E93-807C-CA7A3BCF9938}">
          <x14:formula1>
            <xm:f>'น้ำยา-เครื่อง'!$A$4:$A$13</xm:f>
          </x14:formula1>
          <xm:sqref>B107 B95 B35 B47 B65 B77 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CD55-9254-4F4D-904D-3714FF5B89FD}">
  <dimension ref="A1:BM10"/>
  <sheetViews>
    <sheetView zoomScale="85" zoomScaleNormal="85" workbookViewId="0">
      <selection activeCell="AI4" sqref="AI4:BM5"/>
    </sheetView>
  </sheetViews>
  <sheetFormatPr defaultRowHeight="14.25" x14ac:dyDescent="0.2"/>
  <cols>
    <col min="1" max="1" width="11.25" bestFit="1" customWidth="1"/>
    <col min="2" max="2" width="2.375" bestFit="1" customWidth="1"/>
    <col min="3" max="6" width="2" bestFit="1" customWidth="1"/>
    <col min="7" max="7" width="3" bestFit="1" customWidth="1"/>
    <col min="8" max="10" width="2" bestFit="1" customWidth="1"/>
    <col min="11" max="32" width="3" bestFit="1" customWidth="1"/>
    <col min="34" max="34" width="11.25" bestFit="1" customWidth="1"/>
    <col min="35" max="35" width="2.375" bestFit="1" customWidth="1"/>
    <col min="36" max="39" width="2" bestFit="1" customWidth="1"/>
    <col min="40" max="40" width="3" bestFit="1" customWidth="1"/>
    <col min="41" max="43" width="2" bestFit="1" customWidth="1"/>
    <col min="44" max="65" width="3" bestFit="1" customWidth="1"/>
  </cols>
  <sheetData>
    <row r="1" spans="1:65" x14ac:dyDescent="0.2">
      <c r="B1" s="37" t="s">
        <v>23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I1" s="37" t="s">
        <v>24</v>
      </c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</row>
    <row r="2" spans="1:65" x14ac:dyDescent="0.2">
      <c r="B2" s="36" t="str">
        <f>Monitor!C3</f>
        <v>เดือน กรกฎาคม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I2" s="36" t="str">
        <f>Monitor!C15</f>
        <v>เดือน สิงหาคม</v>
      </c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</row>
    <row r="3" spans="1:65" x14ac:dyDescent="0.2">
      <c r="B3" s="10">
        <f>[1]Monthly!C4</f>
        <v>1</v>
      </c>
      <c r="C3" s="10">
        <f>[1]Monthly!D4</f>
        <v>2</v>
      </c>
      <c r="D3" s="10">
        <f>[1]Monthly!E4</f>
        <v>3</v>
      </c>
      <c r="E3" s="10">
        <f>[1]Monthly!F4</f>
        <v>4</v>
      </c>
      <c r="F3" s="10">
        <f>[1]Monthly!G4</f>
        <v>5</v>
      </c>
      <c r="G3" s="10">
        <f>[1]Monthly!H4</f>
        <v>6</v>
      </c>
      <c r="H3" s="10">
        <f>[1]Monthly!I4</f>
        <v>7</v>
      </c>
      <c r="I3" s="10">
        <f>[1]Monthly!J4</f>
        <v>8</v>
      </c>
      <c r="J3" s="10">
        <f>[1]Monthly!K4</f>
        <v>9</v>
      </c>
      <c r="K3" s="10">
        <f>[1]Monthly!L4</f>
        <v>10</v>
      </c>
      <c r="L3" s="10">
        <f>[1]Monthly!M4</f>
        <v>11</v>
      </c>
      <c r="M3" s="10">
        <f>[1]Monthly!N4</f>
        <v>12</v>
      </c>
      <c r="N3" s="10">
        <f>[1]Monthly!O4</f>
        <v>13</v>
      </c>
      <c r="O3" s="10">
        <f>[1]Monthly!P4</f>
        <v>14</v>
      </c>
      <c r="P3" s="10">
        <f>[1]Monthly!Q4</f>
        <v>15</v>
      </c>
      <c r="Q3" s="10">
        <f>[1]Monthly!R4</f>
        <v>16</v>
      </c>
      <c r="R3" s="10">
        <f>[1]Monthly!S4</f>
        <v>17</v>
      </c>
      <c r="S3" s="10">
        <f>[1]Monthly!T4</f>
        <v>18</v>
      </c>
      <c r="T3" s="10">
        <f>[1]Monthly!U4</f>
        <v>19</v>
      </c>
      <c r="U3" s="10">
        <f>[1]Monthly!V4</f>
        <v>20</v>
      </c>
      <c r="V3" s="10">
        <f>[1]Monthly!W4</f>
        <v>21</v>
      </c>
      <c r="W3" s="10">
        <f>[1]Monthly!X4</f>
        <v>22</v>
      </c>
      <c r="X3" s="10">
        <f>[1]Monthly!Y4</f>
        <v>23</v>
      </c>
      <c r="Y3" s="10">
        <f>[1]Monthly!Z4</f>
        <v>24</v>
      </c>
      <c r="Z3" s="10">
        <f>[1]Monthly!AA4</f>
        <v>25</v>
      </c>
      <c r="AA3" s="10">
        <f>[1]Monthly!AB4</f>
        <v>26</v>
      </c>
      <c r="AB3" s="10">
        <f>[1]Monthly!AC4</f>
        <v>27</v>
      </c>
      <c r="AC3" s="10">
        <f>[1]Monthly!AD4</f>
        <v>28</v>
      </c>
      <c r="AD3" s="10">
        <f>[1]Monthly!AE4</f>
        <v>29</v>
      </c>
      <c r="AE3" s="10">
        <f>[1]Monthly!AF4</f>
        <v>30</v>
      </c>
      <c r="AF3" s="10">
        <v>31</v>
      </c>
      <c r="AI3" s="10">
        <v>1</v>
      </c>
      <c r="AJ3" s="10">
        <v>2</v>
      </c>
      <c r="AK3" s="10">
        <v>3</v>
      </c>
      <c r="AL3" s="10">
        <v>4</v>
      </c>
      <c r="AM3" s="10">
        <v>5</v>
      </c>
      <c r="AN3" s="10">
        <v>6</v>
      </c>
      <c r="AO3" s="10">
        <v>7</v>
      </c>
      <c r="AP3" s="10">
        <v>8</v>
      </c>
      <c r="AQ3" s="10">
        <v>9</v>
      </c>
      <c r="AR3" s="10">
        <v>10</v>
      </c>
      <c r="AS3" s="10">
        <v>11</v>
      </c>
      <c r="AT3" s="10">
        <v>12</v>
      </c>
      <c r="AU3" s="10">
        <v>13</v>
      </c>
      <c r="AV3" s="10">
        <v>14</v>
      </c>
      <c r="AW3" s="10">
        <v>15</v>
      </c>
      <c r="AX3" s="10">
        <v>16</v>
      </c>
      <c r="AY3" s="10">
        <v>17</v>
      </c>
      <c r="AZ3" s="10">
        <v>18</v>
      </c>
      <c r="BA3" s="10">
        <v>19</v>
      </c>
      <c r="BB3" s="10">
        <v>20</v>
      </c>
      <c r="BC3" s="10">
        <v>21</v>
      </c>
      <c r="BD3" s="10">
        <v>22</v>
      </c>
      <c r="BE3" s="10">
        <v>23</v>
      </c>
      <c r="BF3" s="10">
        <v>24</v>
      </c>
      <c r="BG3" s="10">
        <v>25</v>
      </c>
      <c r="BH3" s="10">
        <v>26</v>
      </c>
      <c r="BI3" s="10">
        <v>27</v>
      </c>
      <c r="BJ3" s="10">
        <v>28</v>
      </c>
      <c r="BK3" s="10">
        <v>29</v>
      </c>
      <c r="BL3" s="10">
        <v>30</v>
      </c>
      <c r="BM3" s="10"/>
    </row>
    <row r="4" spans="1:65" ht="18" x14ac:dyDescent="0.2">
      <c r="A4" t="s">
        <v>4</v>
      </c>
      <c r="B4" s="13">
        <v>1</v>
      </c>
      <c r="C4" s="13">
        <v>1</v>
      </c>
      <c r="D4" s="13">
        <v>1</v>
      </c>
      <c r="E4" s="13"/>
      <c r="F4" s="13"/>
      <c r="G4" s="13">
        <v>2</v>
      </c>
      <c r="H4" s="13">
        <v>2</v>
      </c>
      <c r="I4" s="13">
        <v>2</v>
      </c>
      <c r="J4" s="13">
        <v>2</v>
      </c>
      <c r="K4" s="13">
        <v>2</v>
      </c>
      <c r="L4" s="13"/>
      <c r="M4" s="13"/>
      <c r="N4" s="13">
        <v>1</v>
      </c>
      <c r="O4" s="13">
        <v>1</v>
      </c>
      <c r="P4" s="13">
        <v>1</v>
      </c>
      <c r="Q4" s="13">
        <v>1</v>
      </c>
      <c r="R4" s="13">
        <v>1</v>
      </c>
      <c r="S4" s="13"/>
      <c r="T4" s="13"/>
      <c r="U4" s="13">
        <v>2</v>
      </c>
      <c r="V4" s="13">
        <v>2</v>
      </c>
      <c r="W4" s="13">
        <v>2</v>
      </c>
      <c r="X4" s="13">
        <v>2</v>
      </c>
      <c r="Y4" s="13">
        <v>2</v>
      </c>
      <c r="Z4" s="13"/>
      <c r="AA4" s="13"/>
      <c r="AB4" s="13">
        <v>1</v>
      </c>
      <c r="AC4" s="13">
        <v>1</v>
      </c>
      <c r="AD4" s="13">
        <v>1</v>
      </c>
      <c r="AE4" s="13">
        <v>1</v>
      </c>
      <c r="AF4" s="13">
        <v>1</v>
      </c>
      <c r="AH4" t="s">
        <v>4</v>
      </c>
      <c r="AI4" s="13"/>
      <c r="AJ4" s="13"/>
      <c r="AK4" s="13">
        <v>2</v>
      </c>
      <c r="AL4" s="13">
        <v>2</v>
      </c>
      <c r="AM4" s="13">
        <v>2</v>
      </c>
      <c r="AN4" s="13">
        <v>2</v>
      </c>
      <c r="AO4" s="13">
        <v>2</v>
      </c>
      <c r="AP4" s="13"/>
      <c r="AQ4" s="13"/>
      <c r="AR4" s="13">
        <v>1</v>
      </c>
      <c r="AS4" s="13">
        <v>1</v>
      </c>
      <c r="AT4" s="13">
        <v>1</v>
      </c>
      <c r="AU4" s="13">
        <v>1</v>
      </c>
      <c r="AV4" s="13">
        <v>1</v>
      </c>
      <c r="AW4" s="13"/>
      <c r="AX4" s="13"/>
      <c r="AY4" s="13">
        <v>2</v>
      </c>
      <c r="AZ4" s="13">
        <v>2</v>
      </c>
      <c r="BA4" s="13">
        <v>2</v>
      </c>
      <c r="BB4" s="13">
        <v>2</v>
      </c>
      <c r="BC4" s="13">
        <v>2</v>
      </c>
      <c r="BD4" s="13"/>
      <c r="BE4" s="13"/>
      <c r="BF4" s="13">
        <v>1</v>
      </c>
      <c r="BG4" s="13">
        <v>1</v>
      </c>
      <c r="BH4" s="13">
        <v>1</v>
      </c>
      <c r="BI4" s="13">
        <v>1</v>
      </c>
      <c r="BJ4" s="13">
        <v>1</v>
      </c>
      <c r="BK4" s="13"/>
      <c r="BL4" s="13"/>
      <c r="BM4" s="13">
        <v>2</v>
      </c>
    </row>
    <row r="5" spans="1:65" x14ac:dyDescent="0.2">
      <c r="A5" t="s">
        <v>24</v>
      </c>
      <c r="B5">
        <v>1</v>
      </c>
      <c r="C5">
        <v>1</v>
      </c>
      <c r="D5">
        <v>1</v>
      </c>
      <c r="E5">
        <v>2</v>
      </c>
      <c r="F5">
        <v>3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3</v>
      </c>
      <c r="N5">
        <v>1</v>
      </c>
      <c r="O5">
        <v>1</v>
      </c>
      <c r="P5">
        <v>1</v>
      </c>
      <c r="Q5">
        <v>1</v>
      </c>
      <c r="R5">
        <v>1</v>
      </c>
      <c r="S5">
        <v>2</v>
      </c>
      <c r="T5">
        <v>3</v>
      </c>
      <c r="U5">
        <v>1</v>
      </c>
      <c r="V5">
        <v>1</v>
      </c>
      <c r="W5">
        <v>1</v>
      </c>
      <c r="X5">
        <v>1</v>
      </c>
      <c r="Y5">
        <v>1</v>
      </c>
      <c r="Z5">
        <v>2</v>
      </c>
      <c r="AA5">
        <v>3</v>
      </c>
      <c r="AB5">
        <v>1</v>
      </c>
      <c r="AC5">
        <v>1</v>
      </c>
      <c r="AD5">
        <v>1</v>
      </c>
      <c r="AE5">
        <v>1</v>
      </c>
      <c r="AF5">
        <v>1</v>
      </c>
      <c r="AH5" t="s">
        <v>24</v>
      </c>
      <c r="AI5">
        <v>2</v>
      </c>
      <c r="AJ5">
        <v>3</v>
      </c>
      <c r="AK5">
        <v>1</v>
      </c>
      <c r="AL5">
        <v>1</v>
      </c>
      <c r="AM5">
        <v>1</v>
      </c>
      <c r="AN5">
        <v>1</v>
      </c>
      <c r="AO5">
        <v>1</v>
      </c>
      <c r="AP5">
        <v>2</v>
      </c>
      <c r="AQ5">
        <v>3</v>
      </c>
      <c r="AR5">
        <v>1</v>
      </c>
      <c r="AS5">
        <v>1</v>
      </c>
      <c r="AT5">
        <v>1</v>
      </c>
      <c r="AU5">
        <v>1</v>
      </c>
      <c r="AV5">
        <v>1</v>
      </c>
      <c r="AW5">
        <v>2</v>
      </c>
      <c r="AX5">
        <v>3</v>
      </c>
      <c r="AY5">
        <v>1</v>
      </c>
      <c r="AZ5">
        <v>1</v>
      </c>
      <c r="BA5">
        <v>1</v>
      </c>
      <c r="BB5">
        <v>1</v>
      </c>
      <c r="BC5">
        <v>1</v>
      </c>
      <c r="BD5">
        <v>2</v>
      </c>
      <c r="BE5">
        <v>3</v>
      </c>
      <c r="BF5">
        <v>1</v>
      </c>
      <c r="BG5">
        <v>1</v>
      </c>
      <c r="BH5">
        <v>1</v>
      </c>
      <c r="BI5">
        <v>1</v>
      </c>
      <c r="BJ5">
        <v>1</v>
      </c>
      <c r="BK5">
        <v>2</v>
      </c>
      <c r="BL5">
        <v>3</v>
      </c>
      <c r="BM5">
        <v>1</v>
      </c>
    </row>
    <row r="7" spans="1:65" x14ac:dyDescent="0.2">
      <c r="AH7" t="s">
        <v>5</v>
      </c>
      <c r="AI7">
        <f>AI3</f>
        <v>1</v>
      </c>
      <c r="AJ7">
        <f t="shared" ref="AJ7:BJ7" si="0">AJ3</f>
        <v>2</v>
      </c>
      <c r="AK7">
        <f t="shared" si="0"/>
        <v>3</v>
      </c>
      <c r="AL7">
        <f t="shared" si="0"/>
        <v>4</v>
      </c>
      <c r="AM7">
        <f t="shared" si="0"/>
        <v>5</v>
      </c>
      <c r="AN7">
        <f t="shared" si="0"/>
        <v>6</v>
      </c>
      <c r="AO7">
        <f t="shared" si="0"/>
        <v>7</v>
      </c>
      <c r="AP7">
        <f t="shared" si="0"/>
        <v>8</v>
      </c>
      <c r="AQ7">
        <f t="shared" si="0"/>
        <v>9</v>
      </c>
      <c r="AR7">
        <f t="shared" si="0"/>
        <v>10</v>
      </c>
      <c r="AS7">
        <f t="shared" si="0"/>
        <v>11</v>
      </c>
      <c r="AT7">
        <f t="shared" si="0"/>
        <v>12</v>
      </c>
      <c r="AU7">
        <f t="shared" si="0"/>
        <v>13</v>
      </c>
      <c r="AV7">
        <f t="shared" si="0"/>
        <v>14</v>
      </c>
      <c r="AW7">
        <f t="shared" si="0"/>
        <v>15</v>
      </c>
      <c r="AX7">
        <f t="shared" si="0"/>
        <v>16</v>
      </c>
      <c r="AY7">
        <f t="shared" si="0"/>
        <v>17</v>
      </c>
      <c r="AZ7">
        <f t="shared" si="0"/>
        <v>18</v>
      </c>
      <c r="BA7">
        <f t="shared" si="0"/>
        <v>19</v>
      </c>
      <c r="BB7">
        <f t="shared" si="0"/>
        <v>20</v>
      </c>
      <c r="BC7">
        <f t="shared" si="0"/>
        <v>21</v>
      </c>
      <c r="BD7">
        <f t="shared" si="0"/>
        <v>22</v>
      </c>
      <c r="BE7">
        <f t="shared" si="0"/>
        <v>23</v>
      </c>
      <c r="BF7">
        <f t="shared" si="0"/>
        <v>24</v>
      </c>
      <c r="BG7">
        <f t="shared" si="0"/>
        <v>25</v>
      </c>
      <c r="BH7">
        <f t="shared" si="0"/>
        <v>26</v>
      </c>
      <c r="BI7">
        <f t="shared" si="0"/>
        <v>27</v>
      </c>
      <c r="BJ7">
        <f t="shared" si="0"/>
        <v>28</v>
      </c>
    </row>
    <row r="8" spans="1:65" x14ac:dyDescent="0.2">
      <c r="A8" t="s">
        <v>25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Q8" t="s">
        <v>20</v>
      </c>
      <c r="R8" t="s">
        <v>20</v>
      </c>
      <c r="S8" t="s">
        <v>20</v>
      </c>
      <c r="T8" t="s">
        <v>20</v>
      </c>
      <c r="U8" t="s">
        <v>20</v>
      </c>
      <c r="X8" t="s">
        <v>20</v>
      </c>
      <c r="Y8" t="s">
        <v>20</v>
      </c>
      <c r="Z8" t="s">
        <v>20</v>
      </c>
      <c r="AA8" t="s">
        <v>20</v>
      </c>
      <c r="AB8" t="s">
        <v>20</v>
      </c>
      <c r="AE8" t="s">
        <v>20</v>
      </c>
      <c r="AF8" t="s">
        <v>20</v>
      </c>
      <c r="AH8" t="s">
        <v>25</v>
      </c>
    </row>
    <row r="9" spans="1:65" x14ac:dyDescent="0.2">
      <c r="A9" t="s">
        <v>26</v>
      </c>
    </row>
    <row r="10" spans="1:65" x14ac:dyDescent="0.2">
      <c r="A10" t="s">
        <v>27</v>
      </c>
    </row>
  </sheetData>
  <mergeCells count="4">
    <mergeCell ref="B2:AF2"/>
    <mergeCell ref="B1:AF1"/>
    <mergeCell ref="AI1:BM1"/>
    <mergeCell ref="AI2:BM2"/>
  </mergeCells>
  <conditionalFormatting sqref="B4:AF4">
    <cfRule type="cellIs" dxfId="1" priority="2" operator="equal">
      <formula>0</formula>
    </cfRule>
  </conditionalFormatting>
  <conditionalFormatting sqref="AI4:BM4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Clean</vt:lpstr>
      <vt:lpstr>Monitor</vt:lpstr>
      <vt:lpstr>น้ำยา-เครื่อง</vt:lpstr>
      <vt:lpstr>Monitor!Print_Area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Peravas Pattanaprayoonwong</cp:lastModifiedBy>
  <cp:lastPrinted>2026-07-01T12:07:35Z</cp:lastPrinted>
  <dcterms:created xsi:type="dcterms:W3CDTF">2022-07-22T09:20:45Z</dcterms:created>
  <dcterms:modified xsi:type="dcterms:W3CDTF">2026-07-01T12:20:38Z</dcterms:modified>
</cp:coreProperties>
</file>