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Z:\Acd Documents\My Documents (C)\ISO 9002 (updated)\Maintenance\แบบฟอร์มแผนPM\"/>
    </mc:Choice>
  </mc:AlternateContent>
  <xr:revisionPtr revIDLastSave="0" documentId="13_ncr:1_{623B6229-64D4-48AD-BB1E-5CB3B7E77E41}" xr6:coauthVersionLast="47" xr6:coauthVersionMax="47" xr10:uidLastSave="{00000000-0000-0000-0000-000000000000}"/>
  <bookViews>
    <workbookView xWindow="-105" yWindow="0" windowWidth="14610" windowHeight="15585" activeTab="2" xr2:uid="{776D506F-6241-4F4A-937C-460F2364FF23}"/>
  </bookViews>
  <sheets>
    <sheet name="MS" sheetId="11" r:id="rId1"/>
    <sheet name="Yearly" sheetId="2" r:id="rId2"/>
    <sheet name="Monthly" sheetId="4" r:id="rId3"/>
    <sheet name="น้ำยา-เครื่อง" sheetId="10" r:id="rId4"/>
    <sheet name="List Cleanroom" sheetId="5" r:id="rId5"/>
    <sheet name="List T1" sheetId="7" r:id="rId6"/>
    <sheet name="List AC6" sheetId="9" r:id="rId7"/>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79" i="4" l="1"/>
  <c r="E579" i="4"/>
  <c r="F579" i="4"/>
  <c r="G579" i="4"/>
  <c r="H579" i="4"/>
  <c r="I579" i="4"/>
  <c r="J579" i="4"/>
  <c r="K579" i="4"/>
  <c r="L579" i="4"/>
  <c r="M579" i="4"/>
  <c r="N579" i="4"/>
  <c r="O579" i="4"/>
  <c r="P579" i="4"/>
  <c r="Q579" i="4"/>
  <c r="R579" i="4"/>
  <c r="S579" i="4"/>
  <c r="T579" i="4"/>
  <c r="U579" i="4"/>
  <c r="V579" i="4"/>
  <c r="W579" i="4"/>
  <c r="X579" i="4"/>
  <c r="Y579" i="4"/>
  <c r="Z579" i="4"/>
  <c r="AA579" i="4"/>
  <c r="AB579" i="4"/>
  <c r="AC579" i="4"/>
  <c r="AD579" i="4"/>
  <c r="AE579" i="4"/>
  <c r="AF579" i="4"/>
  <c r="AG579" i="4"/>
  <c r="D576" i="4"/>
  <c r="E576" i="4"/>
  <c r="F576" i="4"/>
  <c r="G576" i="4"/>
  <c r="H576" i="4"/>
  <c r="I576" i="4"/>
  <c r="J576" i="4"/>
  <c r="K576" i="4"/>
  <c r="L576" i="4"/>
  <c r="M576" i="4"/>
  <c r="N576" i="4"/>
  <c r="O576" i="4"/>
  <c r="P576" i="4"/>
  <c r="Q576" i="4"/>
  <c r="R576" i="4"/>
  <c r="S576" i="4"/>
  <c r="T576" i="4"/>
  <c r="U576" i="4"/>
  <c r="V576" i="4"/>
  <c r="W576" i="4"/>
  <c r="X576" i="4"/>
  <c r="Y576" i="4"/>
  <c r="Z576" i="4"/>
  <c r="AA576" i="4"/>
  <c r="AB576" i="4"/>
  <c r="AC576" i="4"/>
  <c r="AD576" i="4"/>
  <c r="AE576" i="4"/>
  <c r="AF576" i="4"/>
  <c r="AG576" i="4"/>
  <c r="C576" i="4"/>
  <c r="R599" i="4"/>
  <c r="D591" i="4"/>
  <c r="E591" i="4"/>
  <c r="F591" i="4"/>
  <c r="G591" i="4"/>
  <c r="H591" i="4"/>
  <c r="I591" i="4"/>
  <c r="J591" i="4"/>
  <c r="K591" i="4"/>
  <c r="L591" i="4"/>
  <c r="M591" i="4"/>
  <c r="N591" i="4"/>
  <c r="O591" i="4"/>
  <c r="P591" i="4"/>
  <c r="Q591" i="4"/>
  <c r="R591" i="4"/>
  <c r="S591" i="4"/>
  <c r="T591" i="4"/>
  <c r="U591" i="4"/>
  <c r="V591" i="4"/>
  <c r="W591" i="4"/>
  <c r="X591" i="4"/>
  <c r="Y591" i="4"/>
  <c r="Z591" i="4"/>
  <c r="AA591" i="4"/>
  <c r="AB591" i="4"/>
  <c r="AC591" i="4"/>
  <c r="AD591" i="4"/>
  <c r="AE591" i="4"/>
  <c r="AF591" i="4"/>
  <c r="AG591" i="4"/>
  <c r="C591" i="4"/>
  <c r="D588" i="4"/>
  <c r="E588" i="4"/>
  <c r="F588" i="4"/>
  <c r="G588" i="4"/>
  <c r="H588" i="4"/>
  <c r="I588" i="4"/>
  <c r="J588" i="4"/>
  <c r="K588" i="4"/>
  <c r="L588" i="4"/>
  <c r="M588" i="4"/>
  <c r="N588" i="4"/>
  <c r="O588" i="4"/>
  <c r="P588" i="4"/>
  <c r="Q588" i="4"/>
  <c r="R588" i="4"/>
  <c r="S588" i="4"/>
  <c r="T588" i="4"/>
  <c r="U588" i="4"/>
  <c r="V588" i="4"/>
  <c r="W588" i="4"/>
  <c r="X588" i="4"/>
  <c r="Y588" i="4"/>
  <c r="Z588" i="4"/>
  <c r="AA588" i="4"/>
  <c r="AB588" i="4"/>
  <c r="AC588" i="4"/>
  <c r="AD588" i="4"/>
  <c r="AE588" i="4"/>
  <c r="AF588" i="4"/>
  <c r="AG588" i="4"/>
  <c r="C588" i="4"/>
  <c r="C579" i="4"/>
  <c r="C575" i="4"/>
  <c r="D575" i="4"/>
  <c r="E575" i="4"/>
  <c r="F575" i="4"/>
  <c r="G575" i="4"/>
  <c r="H575" i="4"/>
  <c r="I575" i="4"/>
  <c r="J575" i="4"/>
  <c r="K575" i="4"/>
  <c r="L575" i="4"/>
  <c r="M575" i="4"/>
  <c r="N575" i="4"/>
  <c r="O575" i="4"/>
  <c r="P575" i="4"/>
  <c r="Q575" i="4"/>
  <c r="R575" i="4"/>
  <c r="S575" i="4"/>
  <c r="T575" i="4"/>
  <c r="U575" i="4"/>
  <c r="V575" i="4"/>
  <c r="W575" i="4"/>
  <c r="X575" i="4"/>
  <c r="Y575" i="4"/>
  <c r="Z575" i="4"/>
  <c r="AA575" i="4"/>
  <c r="AB575" i="4"/>
  <c r="AC575" i="4"/>
  <c r="AD575" i="4"/>
  <c r="AE575" i="4"/>
  <c r="AF575" i="4"/>
  <c r="AG575" i="4"/>
  <c r="C587" i="4"/>
  <c r="D587" i="4"/>
  <c r="E587" i="4"/>
  <c r="F587" i="4"/>
  <c r="G587" i="4"/>
  <c r="H587" i="4"/>
  <c r="I587" i="4"/>
  <c r="J587" i="4"/>
  <c r="K587" i="4"/>
  <c r="L587" i="4"/>
  <c r="M587" i="4"/>
  <c r="N587" i="4"/>
  <c r="O587" i="4"/>
  <c r="P587" i="4"/>
  <c r="Q587" i="4"/>
  <c r="R587" i="4"/>
  <c r="S587" i="4"/>
  <c r="T587" i="4"/>
  <c r="U587" i="4"/>
  <c r="V587" i="4"/>
  <c r="W587" i="4"/>
  <c r="X587" i="4"/>
  <c r="Y587" i="4"/>
  <c r="Z587" i="4"/>
  <c r="AA587" i="4"/>
  <c r="AB587" i="4"/>
  <c r="AC587" i="4"/>
  <c r="AD587" i="4"/>
  <c r="AE587" i="4"/>
  <c r="AF587" i="4"/>
  <c r="AG587" i="4"/>
  <c r="D586" i="4"/>
  <c r="E586" i="4"/>
  <c r="F586" i="4"/>
  <c r="G586" i="4"/>
  <c r="H586" i="4"/>
  <c r="I586" i="4"/>
  <c r="J586" i="4"/>
  <c r="K586" i="4"/>
  <c r="L586" i="4"/>
  <c r="M586" i="4"/>
  <c r="N586" i="4"/>
  <c r="O586" i="4"/>
  <c r="P586" i="4"/>
  <c r="Q586" i="4"/>
  <c r="R586" i="4"/>
  <c r="S586" i="4"/>
  <c r="T586" i="4"/>
  <c r="U586" i="4"/>
  <c r="V586" i="4"/>
  <c r="W586" i="4"/>
  <c r="X586" i="4"/>
  <c r="Y586" i="4"/>
  <c r="Z586" i="4"/>
  <c r="AA586" i="4"/>
  <c r="AB586" i="4"/>
  <c r="AC586" i="4"/>
  <c r="AD586" i="4"/>
  <c r="AE586" i="4"/>
  <c r="AF586" i="4"/>
  <c r="AG586" i="4"/>
  <c r="C586" i="4"/>
  <c r="D574" i="4"/>
  <c r="E574" i="4"/>
  <c r="F574" i="4"/>
  <c r="G574" i="4"/>
  <c r="H574" i="4"/>
  <c r="I574" i="4"/>
  <c r="J574" i="4"/>
  <c r="K574" i="4"/>
  <c r="L574" i="4"/>
  <c r="M574" i="4"/>
  <c r="N574" i="4"/>
  <c r="O574" i="4"/>
  <c r="P574" i="4"/>
  <c r="Q574" i="4"/>
  <c r="R574" i="4"/>
  <c r="S574" i="4"/>
  <c r="T574" i="4"/>
  <c r="U574" i="4"/>
  <c r="V574" i="4"/>
  <c r="W574" i="4"/>
  <c r="X574" i="4"/>
  <c r="Y574" i="4"/>
  <c r="Z574" i="4"/>
  <c r="AA574" i="4"/>
  <c r="AB574" i="4"/>
  <c r="AC574" i="4"/>
  <c r="AD574" i="4"/>
  <c r="AE574" i="4"/>
  <c r="AF574" i="4"/>
  <c r="AG574" i="4"/>
  <c r="C574" i="4"/>
  <c r="U572" i="4"/>
  <c r="AA989" i="2"/>
  <c r="W989" i="2"/>
  <c r="R989" i="2"/>
  <c r="U962" i="2"/>
  <c r="B2" i="10"/>
  <c r="U932" i="2"/>
  <c r="U422" i="4"/>
  <c r="C426" i="4"/>
  <c r="D426" i="4"/>
  <c r="E426" i="4"/>
  <c r="F426" i="4"/>
  <c r="G426" i="4"/>
  <c r="H426" i="4"/>
  <c r="I426" i="4"/>
  <c r="J426" i="4"/>
  <c r="K426" i="4"/>
  <c r="L426" i="4"/>
  <c r="M426" i="4"/>
  <c r="N426" i="4"/>
  <c r="O426" i="4"/>
  <c r="P426" i="4"/>
  <c r="Q426" i="4"/>
  <c r="R426" i="4"/>
  <c r="S426" i="4"/>
  <c r="T426" i="4"/>
  <c r="U426" i="4"/>
  <c r="V426" i="4"/>
  <c r="W426" i="4"/>
  <c r="X426" i="4"/>
  <c r="Y426" i="4"/>
  <c r="Z426" i="4"/>
  <c r="AA426" i="4"/>
  <c r="AB426" i="4"/>
  <c r="AC426" i="4"/>
  <c r="AD426" i="4"/>
  <c r="AE426" i="4"/>
  <c r="AF426" i="4"/>
  <c r="AG426" i="4"/>
  <c r="C438" i="4"/>
  <c r="D438" i="4"/>
  <c r="E438" i="4"/>
  <c r="F438" i="4"/>
  <c r="G438" i="4"/>
  <c r="H438" i="4"/>
  <c r="I438" i="4"/>
  <c r="J438" i="4"/>
  <c r="K438" i="4"/>
  <c r="L438" i="4"/>
  <c r="M438" i="4"/>
  <c r="N438" i="4"/>
  <c r="O438" i="4"/>
  <c r="P438" i="4"/>
  <c r="Q438" i="4"/>
  <c r="R438" i="4"/>
  <c r="S438" i="4"/>
  <c r="T438" i="4"/>
  <c r="U438" i="4"/>
  <c r="V438" i="4"/>
  <c r="W438" i="4"/>
  <c r="X438" i="4"/>
  <c r="Y438" i="4"/>
  <c r="Z438" i="4"/>
  <c r="AA438" i="4"/>
  <c r="AB438" i="4"/>
  <c r="AC438" i="4"/>
  <c r="AD438" i="4"/>
  <c r="AE438" i="4"/>
  <c r="AF438" i="4"/>
  <c r="AG438" i="4"/>
  <c r="AA87" i="11"/>
  <c r="V222" i="4"/>
  <c r="AA119" i="2" l="1"/>
  <c r="AA89" i="2"/>
  <c r="W119" i="2"/>
  <c r="W89" i="2"/>
  <c r="R119" i="2"/>
  <c r="R89" i="2"/>
  <c r="U152" i="4"/>
  <c r="C5" i="4"/>
  <c r="D5" i="4"/>
  <c r="E5" i="4"/>
  <c r="F5" i="4"/>
  <c r="G5" i="4"/>
  <c r="H5"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AG5" i="4"/>
  <c r="AF5" i="4"/>
  <c r="AE5" i="4"/>
  <c r="AD5" i="4"/>
  <c r="AC5" i="4"/>
  <c r="AB5" i="4"/>
  <c r="AA5" i="4"/>
  <c r="Z5" i="4"/>
  <c r="Y5" i="4"/>
  <c r="X5" i="4"/>
  <c r="W5" i="4"/>
  <c r="V5" i="4"/>
  <c r="U5" i="4"/>
  <c r="T5" i="4"/>
  <c r="S5" i="4"/>
  <c r="R5" i="4"/>
  <c r="Q5" i="4"/>
  <c r="P5" i="4"/>
  <c r="O5" i="4"/>
  <c r="N5" i="4"/>
  <c r="M5" i="4"/>
  <c r="L5" i="4"/>
  <c r="K5" i="4"/>
  <c r="J5" i="4"/>
  <c r="I5" i="4"/>
  <c r="AG17" i="4"/>
  <c r="F96" i="4"/>
  <c r="U542" i="4" l="1"/>
  <c r="U482" i="4"/>
  <c r="U452" i="4"/>
  <c r="U392" i="4"/>
  <c r="U362" i="4"/>
  <c r="U332" i="4"/>
  <c r="U302" i="4"/>
  <c r="U272" i="4"/>
  <c r="U242" i="4"/>
  <c r="U212" i="4"/>
  <c r="U182" i="4"/>
  <c r="U122" i="4"/>
  <c r="U92" i="4"/>
  <c r="U62" i="4"/>
  <c r="U32" i="4"/>
  <c r="U902" i="2"/>
  <c r="U872" i="2"/>
  <c r="U842" i="2"/>
  <c r="U812" i="2"/>
  <c r="U782" i="2"/>
  <c r="U752" i="2"/>
  <c r="U722" i="2"/>
  <c r="U692" i="2"/>
  <c r="U662" i="2"/>
  <c r="U632" i="2"/>
  <c r="U602" i="2"/>
  <c r="U572" i="2"/>
  <c r="U542" i="2"/>
  <c r="U512" i="2"/>
  <c r="U482" i="2"/>
  <c r="U452" i="2"/>
  <c r="U422" i="2"/>
  <c r="U392" i="2"/>
  <c r="U362" i="2"/>
  <c r="U332" i="2"/>
  <c r="U302" i="2"/>
  <c r="U272" i="2"/>
  <c r="U242" i="2"/>
  <c r="U212" i="2"/>
  <c r="U182" i="2"/>
  <c r="U152" i="2"/>
  <c r="U122" i="2"/>
  <c r="U92" i="2"/>
  <c r="U62" i="2"/>
  <c r="U32" i="2"/>
  <c r="AA809" i="2"/>
  <c r="W809" i="2"/>
  <c r="R809" i="2"/>
  <c r="AA389" i="2"/>
  <c r="W389" i="2"/>
  <c r="R389" i="2"/>
  <c r="C348" i="2"/>
  <c r="C336" i="2"/>
  <c r="D286" i="2"/>
  <c r="D376" i="2" s="1"/>
  <c r="D466" i="2" s="1"/>
  <c r="E286" i="2"/>
  <c r="E376" i="2" s="1"/>
  <c r="E466" i="2" s="1"/>
  <c r="F286" i="2"/>
  <c r="F376" i="2" s="1"/>
  <c r="F466" i="2" s="1"/>
  <c r="G286" i="2"/>
  <c r="G376" i="2" s="1"/>
  <c r="G466" i="2" s="1"/>
  <c r="H286" i="2"/>
  <c r="H376" i="2" s="1"/>
  <c r="H466" i="2" s="1"/>
  <c r="I286" i="2"/>
  <c r="I376" i="2" s="1"/>
  <c r="I466" i="2" s="1"/>
  <c r="J286" i="2"/>
  <c r="J376" i="2" s="1"/>
  <c r="J466" i="2" s="1"/>
  <c r="K286" i="2"/>
  <c r="K376" i="2" s="1"/>
  <c r="K466" i="2" s="1"/>
  <c r="L286" i="2"/>
  <c r="L376" i="2" s="1"/>
  <c r="L466" i="2" s="1"/>
  <c r="M286" i="2"/>
  <c r="M376" i="2" s="1"/>
  <c r="M466" i="2" s="1"/>
  <c r="N286" i="2"/>
  <c r="N376" i="2" s="1"/>
  <c r="N466" i="2" s="1"/>
  <c r="O286" i="2"/>
  <c r="O376" i="2" s="1"/>
  <c r="O466" i="2" s="1"/>
  <c r="P286" i="2"/>
  <c r="P376" i="2" s="1"/>
  <c r="P466" i="2" s="1"/>
  <c r="Q286" i="2"/>
  <c r="Q376" i="2" s="1"/>
  <c r="Q466" i="2" s="1"/>
  <c r="R286" i="2"/>
  <c r="R376" i="2" s="1"/>
  <c r="R466" i="2" s="1"/>
  <c r="S286" i="2"/>
  <c r="S376" i="2" s="1"/>
  <c r="S466" i="2" s="1"/>
  <c r="T286" i="2"/>
  <c r="T376" i="2" s="1"/>
  <c r="T466" i="2" s="1"/>
  <c r="U286" i="2"/>
  <c r="U376" i="2" s="1"/>
  <c r="U466" i="2" s="1"/>
  <c r="V286" i="2"/>
  <c r="V376" i="2" s="1"/>
  <c r="V466" i="2" s="1"/>
  <c r="W286" i="2"/>
  <c r="W376" i="2" s="1"/>
  <c r="W466" i="2" s="1"/>
  <c r="X286" i="2"/>
  <c r="X376" i="2" s="1"/>
  <c r="X466" i="2" s="1"/>
  <c r="Y286" i="2"/>
  <c r="Y376" i="2" s="1"/>
  <c r="Y466" i="2" s="1"/>
  <c r="Z286" i="2"/>
  <c r="Z376" i="2" s="1"/>
  <c r="Z466" i="2" s="1"/>
  <c r="AA286" i="2"/>
  <c r="AA376" i="2" s="1"/>
  <c r="AA466" i="2" s="1"/>
  <c r="AB286" i="2"/>
  <c r="AB376" i="2" s="1"/>
  <c r="AB466" i="2" s="1"/>
  <c r="AC286" i="2"/>
  <c r="AC376" i="2" s="1"/>
  <c r="AC466" i="2" s="1"/>
  <c r="C286" i="2"/>
  <c r="C376" i="2" s="1"/>
  <c r="C466" i="2" s="1"/>
  <c r="D274" i="2"/>
  <c r="E274" i="2"/>
  <c r="F274" i="2"/>
  <c r="G274" i="2"/>
  <c r="H274" i="2"/>
  <c r="I274" i="2"/>
  <c r="J274" i="2"/>
  <c r="K274" i="2"/>
  <c r="L274" i="2"/>
  <c r="M274" i="2"/>
  <c r="N274" i="2"/>
  <c r="O274" i="2"/>
  <c r="P274" i="2"/>
  <c r="Q274" i="2"/>
  <c r="R274" i="2"/>
  <c r="S274" i="2"/>
  <c r="T274" i="2"/>
  <c r="U274" i="2"/>
  <c r="V274" i="2"/>
  <c r="W274" i="2"/>
  <c r="X274" i="2"/>
  <c r="Y274" i="2"/>
  <c r="Z274" i="2"/>
  <c r="AA274" i="2"/>
  <c r="AB274" i="2"/>
  <c r="AC274" i="2"/>
  <c r="C274" i="2"/>
  <c r="AA149" i="4"/>
  <c r="W149" i="4"/>
  <c r="R149" i="4"/>
  <c r="C234" i="4" l="1"/>
  <c r="C135" i="4"/>
  <c r="C123" i="4"/>
  <c r="D136" i="4"/>
  <c r="D137" i="4" s="1"/>
  <c r="E136" i="4"/>
  <c r="E137" i="4" s="1"/>
  <c r="F136" i="4"/>
  <c r="F137" i="4" s="1"/>
  <c r="G136" i="4"/>
  <c r="G137" i="4" s="1"/>
  <c r="H136" i="4"/>
  <c r="H137" i="4" s="1"/>
  <c r="I136" i="4"/>
  <c r="I137" i="4" s="1"/>
  <c r="J136" i="4"/>
  <c r="J137" i="4" s="1"/>
  <c r="K136" i="4"/>
  <c r="K137" i="4" s="1"/>
  <c r="L136" i="4"/>
  <c r="L137" i="4" s="1"/>
  <c r="M136" i="4"/>
  <c r="M137" i="4" s="1"/>
  <c r="N136" i="4"/>
  <c r="N137" i="4" s="1"/>
  <c r="O136" i="4"/>
  <c r="O137" i="4" s="1"/>
  <c r="P136" i="4"/>
  <c r="P137" i="4" s="1"/>
  <c r="Q136" i="4"/>
  <c r="Q137" i="4" s="1"/>
  <c r="R136" i="4"/>
  <c r="R137" i="4" s="1"/>
  <c r="S136" i="4"/>
  <c r="S137" i="4" s="1"/>
  <c r="T136" i="4"/>
  <c r="T137" i="4" s="1"/>
  <c r="U136" i="4"/>
  <c r="U137" i="4" s="1"/>
  <c r="V136" i="4"/>
  <c r="V137" i="4" s="1"/>
  <c r="W136" i="4"/>
  <c r="W137" i="4" s="1"/>
  <c r="X136" i="4"/>
  <c r="X137" i="4" s="1"/>
  <c r="Y136" i="4"/>
  <c r="Y137" i="4" s="1"/>
  <c r="Z136" i="4"/>
  <c r="Z137" i="4" s="1"/>
  <c r="AA136" i="4"/>
  <c r="AA137" i="4" s="1"/>
  <c r="AB136" i="4"/>
  <c r="AB137" i="4" s="1"/>
  <c r="AC136" i="4"/>
  <c r="AC137" i="4" s="1"/>
  <c r="AD136" i="4"/>
  <c r="AD137" i="4" s="1"/>
  <c r="AE136" i="4"/>
  <c r="AE137" i="4" s="1"/>
  <c r="AF136" i="4"/>
  <c r="AF137" i="4" s="1"/>
  <c r="AG136" i="4"/>
  <c r="AG137" i="4" s="1"/>
  <c r="C136" i="4"/>
  <c r="C137" i="4" s="1"/>
  <c r="D124" i="4"/>
  <c r="E124" i="4"/>
  <c r="F124" i="4"/>
  <c r="G124" i="4"/>
  <c r="H124" i="4"/>
  <c r="I124" i="4"/>
  <c r="J124" i="4"/>
  <c r="K124" i="4"/>
  <c r="L124" i="4"/>
  <c r="M124" i="4"/>
  <c r="N124" i="4"/>
  <c r="O124" i="4"/>
  <c r="P124" i="4"/>
  <c r="Q124" i="4"/>
  <c r="R124" i="4"/>
  <c r="S124" i="4"/>
  <c r="T124" i="4"/>
  <c r="U124" i="4"/>
  <c r="V124" i="4"/>
  <c r="W124" i="4"/>
  <c r="X124" i="4"/>
  <c r="Y124" i="4"/>
  <c r="Z124" i="4"/>
  <c r="AA124" i="4"/>
  <c r="AB124" i="4"/>
  <c r="AC124" i="4"/>
  <c r="AD124" i="4"/>
  <c r="AE124" i="4"/>
  <c r="AF124" i="4"/>
  <c r="AG124" i="4"/>
  <c r="C124" i="4"/>
  <c r="C34" i="2"/>
  <c r="C64" i="2" s="1"/>
  <c r="C94" i="2" s="1"/>
  <c r="J546" i="4"/>
  <c r="AA59" i="4"/>
  <c r="AA179" i="4" s="1"/>
  <c r="O222" i="4" l="1"/>
  <c r="D99" i="4" l="1"/>
  <c r="D546" i="4" s="1"/>
  <c r="D102" i="4"/>
  <c r="D222" i="4" l="1"/>
  <c r="F222" i="4"/>
  <c r="G222" i="4"/>
  <c r="AG116" i="4"/>
  <c r="AG206" i="4" s="1"/>
  <c r="AF116" i="4"/>
  <c r="AF206" i="4" s="1"/>
  <c r="AE116" i="4"/>
  <c r="AE206" i="4" s="1"/>
  <c r="AD116" i="4"/>
  <c r="AD206" i="4" s="1"/>
  <c r="AC116" i="4"/>
  <c r="AC206" i="4" s="1"/>
  <c r="AB116" i="4"/>
  <c r="AB206" i="4" s="1"/>
  <c r="AA116" i="4"/>
  <c r="AA206" i="4" s="1"/>
  <c r="Z116" i="4"/>
  <c r="Z206" i="4" s="1"/>
  <c r="Y116" i="4"/>
  <c r="Y206" i="4" s="1"/>
  <c r="X116" i="4"/>
  <c r="X206" i="4" s="1"/>
  <c r="W116" i="4"/>
  <c r="W206" i="4" s="1"/>
  <c r="V116" i="4"/>
  <c r="V206" i="4" s="1"/>
  <c r="U116" i="4"/>
  <c r="U206" i="4" s="1"/>
  <c r="T116" i="4"/>
  <c r="T206" i="4" s="1"/>
  <c r="S116" i="4"/>
  <c r="S206" i="4" s="1"/>
  <c r="R116" i="4"/>
  <c r="R206" i="4" s="1"/>
  <c r="Q116" i="4"/>
  <c r="Q206" i="4" s="1"/>
  <c r="P116" i="4"/>
  <c r="P206" i="4" s="1"/>
  <c r="O116" i="4"/>
  <c r="O206" i="4" s="1"/>
  <c r="N116" i="4"/>
  <c r="N206" i="4" s="1"/>
  <c r="M116" i="4"/>
  <c r="M206" i="4" s="1"/>
  <c r="L116" i="4"/>
  <c r="L206" i="4" s="1"/>
  <c r="K116" i="4"/>
  <c r="K206" i="4" s="1"/>
  <c r="J116" i="4"/>
  <c r="J206" i="4" s="1"/>
  <c r="I116" i="4"/>
  <c r="I206" i="4" s="1"/>
  <c r="H116" i="4"/>
  <c r="H206" i="4" s="1"/>
  <c r="G116" i="4"/>
  <c r="G206" i="4" s="1"/>
  <c r="F116" i="4"/>
  <c r="F206" i="4" s="1"/>
  <c r="E116" i="4"/>
  <c r="E206" i="4" s="1"/>
  <c r="D116" i="4"/>
  <c r="D206" i="4" s="1"/>
  <c r="C116" i="4"/>
  <c r="C206" i="4" s="1"/>
  <c r="AG115" i="4"/>
  <c r="AG205" i="4" s="1"/>
  <c r="AF115" i="4"/>
  <c r="AF205" i="4" s="1"/>
  <c r="AE115" i="4"/>
  <c r="AE205" i="4" s="1"/>
  <c r="AD115" i="4"/>
  <c r="AD205" i="4" s="1"/>
  <c r="AC115" i="4"/>
  <c r="AC205" i="4" s="1"/>
  <c r="AB115" i="4"/>
  <c r="AB205" i="4" s="1"/>
  <c r="AA115" i="4"/>
  <c r="AA205" i="4" s="1"/>
  <c r="Z115" i="4"/>
  <c r="Z205" i="4" s="1"/>
  <c r="Y115" i="4"/>
  <c r="Y205" i="4" s="1"/>
  <c r="X115" i="4"/>
  <c r="X205" i="4" s="1"/>
  <c r="W115" i="4"/>
  <c r="W205" i="4" s="1"/>
  <c r="V115" i="4"/>
  <c r="V205" i="4" s="1"/>
  <c r="U115" i="4"/>
  <c r="U205" i="4" s="1"/>
  <c r="T115" i="4"/>
  <c r="T205" i="4" s="1"/>
  <c r="S115" i="4"/>
  <c r="S205" i="4" s="1"/>
  <c r="R115" i="4"/>
  <c r="R205" i="4" s="1"/>
  <c r="Q115" i="4"/>
  <c r="Q205" i="4" s="1"/>
  <c r="P115" i="4"/>
  <c r="P205" i="4" s="1"/>
  <c r="O115" i="4"/>
  <c r="O205" i="4" s="1"/>
  <c r="N115" i="4"/>
  <c r="N205" i="4" s="1"/>
  <c r="M115" i="4"/>
  <c r="M205" i="4" s="1"/>
  <c r="L115" i="4"/>
  <c r="L205" i="4" s="1"/>
  <c r="K115" i="4"/>
  <c r="K205" i="4" s="1"/>
  <c r="J115" i="4"/>
  <c r="J205" i="4" s="1"/>
  <c r="I115" i="4"/>
  <c r="I205" i="4" s="1"/>
  <c r="H115" i="4"/>
  <c r="H205" i="4" s="1"/>
  <c r="G115" i="4"/>
  <c r="G205" i="4" s="1"/>
  <c r="F115" i="4"/>
  <c r="F205" i="4" s="1"/>
  <c r="E115" i="4"/>
  <c r="E205" i="4" s="1"/>
  <c r="D115" i="4"/>
  <c r="D205" i="4" s="1"/>
  <c r="C115" i="4"/>
  <c r="C205" i="4" s="1"/>
  <c r="AG114" i="4"/>
  <c r="AG234" i="4" s="1"/>
  <c r="AF114" i="4"/>
  <c r="AF234" i="4" s="1"/>
  <c r="AE114" i="4"/>
  <c r="AE234" i="4" s="1"/>
  <c r="AD114" i="4"/>
  <c r="AD234" i="4" s="1"/>
  <c r="AC114" i="4"/>
  <c r="AC234" i="4" s="1"/>
  <c r="AB114" i="4"/>
  <c r="AA114" i="4"/>
  <c r="AA234" i="4" s="1"/>
  <c r="Z114" i="4"/>
  <c r="Z234" i="4" s="1"/>
  <c r="Y114" i="4"/>
  <c r="Y234" i="4" s="1"/>
  <c r="X114" i="4"/>
  <c r="X234" i="4" s="1"/>
  <c r="W114" i="4"/>
  <c r="W234" i="4" s="1"/>
  <c r="V114" i="4"/>
  <c r="V234" i="4" s="1"/>
  <c r="U114" i="4"/>
  <c r="U234" i="4" s="1"/>
  <c r="T114" i="4"/>
  <c r="S114" i="4"/>
  <c r="S234" i="4" s="1"/>
  <c r="R114" i="4"/>
  <c r="R234" i="4" s="1"/>
  <c r="Q114" i="4"/>
  <c r="Q234" i="4" s="1"/>
  <c r="P114" i="4"/>
  <c r="P234" i="4" s="1"/>
  <c r="O114" i="4"/>
  <c r="O234" i="4" s="1"/>
  <c r="N114" i="4"/>
  <c r="M114" i="4"/>
  <c r="M234" i="4" s="1"/>
  <c r="L114" i="4"/>
  <c r="L234" i="4" s="1"/>
  <c r="K114" i="4"/>
  <c r="K234" i="4" s="1"/>
  <c r="J114" i="4"/>
  <c r="J234" i="4" s="1"/>
  <c r="I114" i="4"/>
  <c r="I234" i="4" s="1"/>
  <c r="H114" i="4"/>
  <c r="G114" i="4"/>
  <c r="G234" i="4" s="1"/>
  <c r="F114" i="4"/>
  <c r="F234" i="4" s="1"/>
  <c r="E114" i="4"/>
  <c r="E234" i="4" s="1"/>
  <c r="D114" i="4"/>
  <c r="D234" i="4" s="1"/>
  <c r="C114" i="4"/>
  <c r="AG113" i="4"/>
  <c r="AG203" i="4" s="1"/>
  <c r="AF113" i="4"/>
  <c r="AF203" i="4" s="1"/>
  <c r="AE113" i="4"/>
  <c r="AE203" i="4" s="1"/>
  <c r="AD113" i="4"/>
  <c r="AD203" i="4" s="1"/>
  <c r="AC113" i="4"/>
  <c r="AC203" i="4" s="1"/>
  <c r="AB113" i="4"/>
  <c r="AB203" i="4" s="1"/>
  <c r="AA113" i="4"/>
  <c r="AA203" i="4" s="1"/>
  <c r="Z113" i="4"/>
  <c r="Z203" i="4" s="1"/>
  <c r="Y113" i="4"/>
  <c r="Y203" i="4" s="1"/>
  <c r="X113" i="4"/>
  <c r="X203" i="4" s="1"/>
  <c r="W113" i="4"/>
  <c r="W203" i="4" s="1"/>
  <c r="V113" i="4"/>
  <c r="V203" i="4" s="1"/>
  <c r="U113" i="4"/>
  <c r="U203" i="4" s="1"/>
  <c r="T113" i="4"/>
  <c r="T203" i="4" s="1"/>
  <c r="S113" i="4"/>
  <c r="S203" i="4" s="1"/>
  <c r="R113" i="4"/>
  <c r="R203" i="4" s="1"/>
  <c r="Q113" i="4"/>
  <c r="Q203" i="4" s="1"/>
  <c r="P113" i="4"/>
  <c r="P203" i="4" s="1"/>
  <c r="O113" i="4"/>
  <c r="O203" i="4" s="1"/>
  <c r="N113" i="4"/>
  <c r="N203" i="4" s="1"/>
  <c r="M113" i="4"/>
  <c r="M203" i="4" s="1"/>
  <c r="L113" i="4"/>
  <c r="L203" i="4" s="1"/>
  <c r="K113" i="4"/>
  <c r="K203" i="4" s="1"/>
  <c r="J113" i="4"/>
  <c r="J203" i="4" s="1"/>
  <c r="I113" i="4"/>
  <c r="I203" i="4" s="1"/>
  <c r="H113" i="4"/>
  <c r="H203" i="4" s="1"/>
  <c r="G113" i="4"/>
  <c r="G203" i="4" s="1"/>
  <c r="F113" i="4"/>
  <c r="F203" i="4" s="1"/>
  <c r="E113" i="4"/>
  <c r="E203" i="4" s="1"/>
  <c r="D113" i="4"/>
  <c r="D203" i="4" s="1"/>
  <c r="C113" i="4"/>
  <c r="C203" i="4" s="1"/>
  <c r="AG112" i="4"/>
  <c r="AG202" i="4" s="1"/>
  <c r="AF112" i="4"/>
  <c r="AF202" i="4" s="1"/>
  <c r="AE112" i="4"/>
  <c r="AE202" i="4" s="1"/>
  <c r="AD112" i="4"/>
  <c r="AD202" i="4" s="1"/>
  <c r="AC112" i="4"/>
  <c r="AC202" i="4" s="1"/>
  <c r="AB112" i="4"/>
  <c r="AB202" i="4" s="1"/>
  <c r="AA112" i="4"/>
  <c r="AA202" i="4" s="1"/>
  <c r="Z112" i="4"/>
  <c r="Z202" i="4" s="1"/>
  <c r="Y112" i="4"/>
  <c r="Y202" i="4" s="1"/>
  <c r="X112" i="4"/>
  <c r="X202" i="4" s="1"/>
  <c r="W112" i="4"/>
  <c r="W202" i="4" s="1"/>
  <c r="V112" i="4"/>
  <c r="V202" i="4" s="1"/>
  <c r="U112" i="4"/>
  <c r="U202" i="4" s="1"/>
  <c r="T112" i="4"/>
  <c r="T202" i="4" s="1"/>
  <c r="S112" i="4"/>
  <c r="S202" i="4" s="1"/>
  <c r="R112" i="4"/>
  <c r="R202" i="4" s="1"/>
  <c r="Q112" i="4"/>
  <c r="Q202" i="4" s="1"/>
  <c r="P112" i="4"/>
  <c r="P202" i="4" s="1"/>
  <c r="O112" i="4"/>
  <c r="O202" i="4" s="1"/>
  <c r="N112" i="4"/>
  <c r="N202" i="4" s="1"/>
  <c r="M112" i="4"/>
  <c r="M202" i="4" s="1"/>
  <c r="L112" i="4"/>
  <c r="L202" i="4" s="1"/>
  <c r="K112" i="4"/>
  <c r="K202" i="4" s="1"/>
  <c r="J112" i="4"/>
  <c r="J202" i="4" s="1"/>
  <c r="I112" i="4"/>
  <c r="I202" i="4" s="1"/>
  <c r="H112" i="4"/>
  <c r="H202" i="4" s="1"/>
  <c r="G112" i="4"/>
  <c r="G202" i="4" s="1"/>
  <c r="F112" i="4"/>
  <c r="F202" i="4" s="1"/>
  <c r="E112" i="4"/>
  <c r="E202" i="4" s="1"/>
  <c r="D112" i="4"/>
  <c r="D202" i="4" s="1"/>
  <c r="C112" i="4"/>
  <c r="C202" i="4" s="1"/>
  <c r="AG111" i="4"/>
  <c r="AG558" i="4" s="1"/>
  <c r="AF111" i="4"/>
  <c r="AF558" i="4" s="1"/>
  <c r="AE111" i="4"/>
  <c r="AE558" i="4" s="1"/>
  <c r="AD111" i="4"/>
  <c r="AD558" i="4" s="1"/>
  <c r="AC111" i="4"/>
  <c r="AC558" i="4" s="1"/>
  <c r="AB111" i="4"/>
  <c r="AB558" i="4" s="1"/>
  <c r="AA111" i="4"/>
  <c r="AA558" i="4" s="1"/>
  <c r="Z111" i="4"/>
  <c r="Z558" i="4" s="1"/>
  <c r="Y111" i="4"/>
  <c r="Y558" i="4" s="1"/>
  <c r="X111" i="4"/>
  <c r="X558" i="4" s="1"/>
  <c r="W111" i="4"/>
  <c r="W558" i="4" s="1"/>
  <c r="V111" i="4"/>
  <c r="V558" i="4" s="1"/>
  <c r="U111" i="4"/>
  <c r="U558" i="4" s="1"/>
  <c r="T111" i="4"/>
  <c r="T558" i="4" s="1"/>
  <c r="S111" i="4"/>
  <c r="S558" i="4" s="1"/>
  <c r="R111" i="4"/>
  <c r="R558" i="4" s="1"/>
  <c r="Q111" i="4"/>
  <c r="Q558" i="4" s="1"/>
  <c r="P111" i="4"/>
  <c r="P558" i="4" s="1"/>
  <c r="O111" i="4"/>
  <c r="O558" i="4" s="1"/>
  <c r="N111" i="4"/>
  <c r="N558" i="4" s="1"/>
  <c r="M111" i="4"/>
  <c r="M558" i="4" s="1"/>
  <c r="L111" i="4"/>
  <c r="L558" i="4" s="1"/>
  <c r="K111" i="4"/>
  <c r="K558" i="4" s="1"/>
  <c r="J111" i="4"/>
  <c r="J558" i="4" s="1"/>
  <c r="I111" i="4"/>
  <c r="I558" i="4" s="1"/>
  <c r="H111" i="4"/>
  <c r="H558" i="4" s="1"/>
  <c r="G111" i="4"/>
  <c r="G558" i="4" s="1"/>
  <c r="F111" i="4"/>
  <c r="F558" i="4" s="1"/>
  <c r="E111" i="4"/>
  <c r="E558" i="4" s="1"/>
  <c r="D111" i="4"/>
  <c r="D558" i="4" s="1"/>
  <c r="C111" i="4"/>
  <c r="C558" i="4" s="1"/>
  <c r="AG110" i="4"/>
  <c r="AG200" i="4" s="1"/>
  <c r="AF110" i="4"/>
  <c r="AF200" i="4" s="1"/>
  <c r="AE110" i="4"/>
  <c r="AE200" i="4" s="1"/>
  <c r="AD110" i="4"/>
  <c r="AD200" i="4" s="1"/>
  <c r="AC110" i="4"/>
  <c r="AC200" i="4" s="1"/>
  <c r="AB110" i="4"/>
  <c r="AB200" i="4" s="1"/>
  <c r="AA110" i="4"/>
  <c r="AA200" i="4" s="1"/>
  <c r="Z110" i="4"/>
  <c r="Z200" i="4" s="1"/>
  <c r="Y110" i="4"/>
  <c r="Y200" i="4" s="1"/>
  <c r="X110" i="4"/>
  <c r="X200" i="4" s="1"/>
  <c r="W110" i="4"/>
  <c r="W200" i="4" s="1"/>
  <c r="V110" i="4"/>
  <c r="V200" i="4" s="1"/>
  <c r="U110" i="4"/>
  <c r="U200" i="4" s="1"/>
  <c r="T110" i="4"/>
  <c r="T200" i="4" s="1"/>
  <c r="S110" i="4"/>
  <c r="S200" i="4" s="1"/>
  <c r="R110" i="4"/>
  <c r="R200" i="4" s="1"/>
  <c r="Q110" i="4"/>
  <c r="Q200" i="4" s="1"/>
  <c r="P110" i="4"/>
  <c r="P200" i="4" s="1"/>
  <c r="O110" i="4"/>
  <c r="O200" i="4" s="1"/>
  <c r="N110" i="4"/>
  <c r="N200" i="4" s="1"/>
  <c r="M110" i="4"/>
  <c r="M200" i="4" s="1"/>
  <c r="L110" i="4"/>
  <c r="L200" i="4" s="1"/>
  <c r="K110" i="4"/>
  <c r="K200" i="4" s="1"/>
  <c r="J110" i="4"/>
  <c r="J200" i="4" s="1"/>
  <c r="I110" i="4"/>
  <c r="I200" i="4" s="1"/>
  <c r="H110" i="4"/>
  <c r="H200" i="4" s="1"/>
  <c r="G110" i="4"/>
  <c r="G200" i="4" s="1"/>
  <c r="F110" i="4"/>
  <c r="F200" i="4" s="1"/>
  <c r="E110" i="4"/>
  <c r="E200" i="4" s="1"/>
  <c r="D110" i="4"/>
  <c r="D200" i="4" s="1"/>
  <c r="C110" i="4"/>
  <c r="C200" i="4" s="1"/>
  <c r="AG109" i="4"/>
  <c r="AG199" i="4" s="1"/>
  <c r="AF109" i="4"/>
  <c r="AF199" i="4" s="1"/>
  <c r="AE109" i="4"/>
  <c r="AE199" i="4" s="1"/>
  <c r="AD109" i="4"/>
  <c r="AD199" i="4" s="1"/>
  <c r="AC109" i="4"/>
  <c r="AC199" i="4" s="1"/>
  <c r="AB109" i="4"/>
  <c r="AB199" i="4" s="1"/>
  <c r="AA109" i="4"/>
  <c r="AA199" i="4" s="1"/>
  <c r="Z109" i="4"/>
  <c r="Z199" i="4" s="1"/>
  <c r="Y109" i="4"/>
  <c r="Y199" i="4" s="1"/>
  <c r="X109" i="4"/>
  <c r="X199" i="4" s="1"/>
  <c r="W109" i="4"/>
  <c r="W199" i="4" s="1"/>
  <c r="V109" i="4"/>
  <c r="V199" i="4" s="1"/>
  <c r="U109" i="4"/>
  <c r="U199" i="4" s="1"/>
  <c r="T109" i="4"/>
  <c r="T199" i="4" s="1"/>
  <c r="S109" i="4"/>
  <c r="S199" i="4" s="1"/>
  <c r="R109" i="4"/>
  <c r="R199" i="4" s="1"/>
  <c r="Q109" i="4"/>
  <c r="Q199" i="4" s="1"/>
  <c r="P109" i="4"/>
  <c r="P199" i="4" s="1"/>
  <c r="O109" i="4"/>
  <c r="O199" i="4" s="1"/>
  <c r="N109" i="4"/>
  <c r="N199" i="4" s="1"/>
  <c r="M109" i="4"/>
  <c r="M199" i="4" s="1"/>
  <c r="L109" i="4"/>
  <c r="L199" i="4" s="1"/>
  <c r="K109" i="4"/>
  <c r="K199" i="4" s="1"/>
  <c r="J109" i="4"/>
  <c r="J199" i="4" s="1"/>
  <c r="I109" i="4"/>
  <c r="I199" i="4" s="1"/>
  <c r="H109" i="4"/>
  <c r="H199" i="4" s="1"/>
  <c r="G109" i="4"/>
  <c r="G199" i="4" s="1"/>
  <c r="F109" i="4"/>
  <c r="F199" i="4" s="1"/>
  <c r="E109" i="4"/>
  <c r="E199" i="4" s="1"/>
  <c r="D109" i="4"/>
  <c r="D199" i="4" s="1"/>
  <c r="C109" i="4"/>
  <c r="C199" i="4" s="1"/>
  <c r="AG108" i="4"/>
  <c r="AF108" i="4"/>
  <c r="AE108" i="4"/>
  <c r="AD108" i="4"/>
  <c r="AD198" i="4" s="1"/>
  <c r="AD201" i="4" s="1"/>
  <c r="AC108" i="4"/>
  <c r="AC198" i="4" s="1"/>
  <c r="AC201" i="4" s="1"/>
  <c r="AB108" i="4"/>
  <c r="AB198" i="4" s="1"/>
  <c r="AB201" i="4" s="1"/>
  <c r="AA108" i="4"/>
  <c r="AA198" i="4" s="1"/>
  <c r="AA201" i="4" s="1"/>
  <c r="Z108" i="4"/>
  <c r="Z198" i="4" s="1"/>
  <c r="Z201" i="4" s="1"/>
  <c r="Y108" i="4"/>
  <c r="X108" i="4"/>
  <c r="W108" i="4"/>
  <c r="V108" i="4"/>
  <c r="U108" i="4"/>
  <c r="U198" i="4" s="1"/>
  <c r="U201" i="4" s="1"/>
  <c r="T108" i="4"/>
  <c r="T198" i="4" s="1"/>
  <c r="T201" i="4" s="1"/>
  <c r="S108" i="4"/>
  <c r="S198" i="4" s="1"/>
  <c r="S201" i="4" s="1"/>
  <c r="R108" i="4"/>
  <c r="R198" i="4" s="1"/>
  <c r="R201" i="4" s="1"/>
  <c r="Q108" i="4"/>
  <c r="Q198" i="4" s="1"/>
  <c r="Q201" i="4" s="1"/>
  <c r="P108" i="4"/>
  <c r="P198" i="4" s="1"/>
  <c r="P201" i="4" s="1"/>
  <c r="O108" i="4"/>
  <c r="O198" i="4" s="1"/>
  <c r="O201" i="4" s="1"/>
  <c r="N108" i="4"/>
  <c r="N198" i="4" s="1"/>
  <c r="N201" i="4" s="1"/>
  <c r="M108" i="4"/>
  <c r="M198" i="4" s="1"/>
  <c r="M201" i="4" s="1"/>
  <c r="L108" i="4"/>
  <c r="L198" i="4" s="1"/>
  <c r="L201" i="4" s="1"/>
  <c r="K108" i="4"/>
  <c r="K198" i="4" s="1"/>
  <c r="K201" i="4" s="1"/>
  <c r="J108" i="4"/>
  <c r="J198" i="4" s="1"/>
  <c r="J201" i="4" s="1"/>
  <c r="I108" i="4"/>
  <c r="I198" i="4" s="1"/>
  <c r="I201" i="4" s="1"/>
  <c r="H108" i="4"/>
  <c r="H198" i="4" s="1"/>
  <c r="H201" i="4" s="1"/>
  <c r="G108" i="4"/>
  <c r="G198" i="4" s="1"/>
  <c r="F108" i="4"/>
  <c r="F198" i="4" s="1"/>
  <c r="F201" i="4" s="1"/>
  <c r="E108" i="4"/>
  <c r="D108" i="4"/>
  <c r="D198" i="4" s="1"/>
  <c r="D201" i="4" s="1"/>
  <c r="C108" i="4"/>
  <c r="C198" i="4" s="1"/>
  <c r="C201" i="4" s="1"/>
  <c r="C97" i="4"/>
  <c r="D97" i="4"/>
  <c r="E97" i="4"/>
  <c r="F97" i="4"/>
  <c r="G97" i="4"/>
  <c r="H97" i="4"/>
  <c r="I97" i="4"/>
  <c r="J97" i="4"/>
  <c r="K97" i="4"/>
  <c r="L97" i="4"/>
  <c r="M97" i="4"/>
  <c r="N97" i="4"/>
  <c r="O97" i="4"/>
  <c r="P97" i="4"/>
  <c r="Q97" i="4"/>
  <c r="R97" i="4"/>
  <c r="S97" i="4"/>
  <c r="T97" i="4"/>
  <c r="U97" i="4"/>
  <c r="V97" i="4"/>
  <c r="W97" i="4"/>
  <c r="X97" i="4"/>
  <c r="Y97" i="4"/>
  <c r="Z97" i="4"/>
  <c r="AA97" i="4"/>
  <c r="AB97" i="4"/>
  <c r="AC97" i="4"/>
  <c r="AD97" i="4"/>
  <c r="AE97" i="4"/>
  <c r="AF97" i="4"/>
  <c r="AG97" i="4"/>
  <c r="C98" i="4"/>
  <c r="D98" i="4"/>
  <c r="E98" i="4"/>
  <c r="F98" i="4"/>
  <c r="G98" i="4"/>
  <c r="H98" i="4"/>
  <c r="I98" i="4"/>
  <c r="J98" i="4"/>
  <c r="K98" i="4"/>
  <c r="L98" i="4"/>
  <c r="M98" i="4"/>
  <c r="N98" i="4"/>
  <c r="O98" i="4"/>
  <c r="P98" i="4"/>
  <c r="Q98" i="4"/>
  <c r="R98" i="4"/>
  <c r="S98" i="4"/>
  <c r="T98" i="4"/>
  <c r="U98" i="4"/>
  <c r="V98" i="4"/>
  <c r="W98" i="4"/>
  <c r="X98" i="4"/>
  <c r="Y98" i="4"/>
  <c r="Z98" i="4"/>
  <c r="AA98" i="4"/>
  <c r="AB98" i="4"/>
  <c r="AC98" i="4"/>
  <c r="AD98" i="4"/>
  <c r="AE98" i="4"/>
  <c r="AF98" i="4"/>
  <c r="AG98" i="4"/>
  <c r="C99" i="4"/>
  <c r="C546" i="4" s="1"/>
  <c r="E99" i="4"/>
  <c r="E546" i="4" s="1"/>
  <c r="F99" i="4"/>
  <c r="F546" i="4" s="1"/>
  <c r="G99" i="4"/>
  <c r="G546" i="4" s="1"/>
  <c r="H99" i="4"/>
  <c r="H546" i="4" s="1"/>
  <c r="I99" i="4"/>
  <c r="I546" i="4" s="1"/>
  <c r="K99" i="4"/>
  <c r="K546" i="4" s="1"/>
  <c r="L99" i="4"/>
  <c r="L546" i="4" s="1"/>
  <c r="M99" i="4"/>
  <c r="M546" i="4" s="1"/>
  <c r="N99" i="4"/>
  <c r="N546" i="4" s="1"/>
  <c r="O99" i="4"/>
  <c r="O546" i="4" s="1"/>
  <c r="P99" i="4"/>
  <c r="P546" i="4" s="1"/>
  <c r="Q99" i="4"/>
  <c r="Q546" i="4" s="1"/>
  <c r="R99" i="4"/>
  <c r="R546" i="4" s="1"/>
  <c r="S99" i="4"/>
  <c r="S546" i="4" s="1"/>
  <c r="T99" i="4"/>
  <c r="T546" i="4" s="1"/>
  <c r="U99" i="4"/>
  <c r="U546" i="4" s="1"/>
  <c r="V99" i="4"/>
  <c r="V546" i="4" s="1"/>
  <c r="W99" i="4"/>
  <c r="W546" i="4" s="1"/>
  <c r="X99" i="4"/>
  <c r="X546" i="4" s="1"/>
  <c r="Y99" i="4"/>
  <c r="Y546" i="4" s="1"/>
  <c r="Z99" i="4"/>
  <c r="Z546" i="4" s="1"/>
  <c r="AA99" i="4"/>
  <c r="AA546" i="4" s="1"/>
  <c r="AB99" i="4"/>
  <c r="AB546" i="4" s="1"/>
  <c r="AC99" i="4"/>
  <c r="AC546" i="4" s="1"/>
  <c r="AD99" i="4"/>
  <c r="AD546" i="4" s="1"/>
  <c r="AE99" i="4"/>
  <c r="AE546" i="4" s="1"/>
  <c r="AF99" i="4"/>
  <c r="AF546" i="4" s="1"/>
  <c r="AG99" i="4"/>
  <c r="AG546" i="4" s="1"/>
  <c r="C100" i="4"/>
  <c r="D100" i="4"/>
  <c r="E100" i="4"/>
  <c r="F100" i="4"/>
  <c r="G100" i="4"/>
  <c r="H100" i="4"/>
  <c r="I100" i="4"/>
  <c r="J100" i="4"/>
  <c r="K100" i="4"/>
  <c r="L100" i="4"/>
  <c r="M100" i="4"/>
  <c r="N100" i="4"/>
  <c r="O100" i="4"/>
  <c r="P100" i="4"/>
  <c r="Q100" i="4"/>
  <c r="R100" i="4"/>
  <c r="S100" i="4"/>
  <c r="T100" i="4"/>
  <c r="U100" i="4"/>
  <c r="V100" i="4"/>
  <c r="W100" i="4"/>
  <c r="X100" i="4"/>
  <c r="Y100" i="4"/>
  <c r="Z100" i="4"/>
  <c r="AA100" i="4"/>
  <c r="AB100" i="4"/>
  <c r="AC100" i="4"/>
  <c r="AD100" i="4"/>
  <c r="AE100" i="4"/>
  <c r="AF100" i="4"/>
  <c r="AG100" i="4"/>
  <c r="C101" i="4"/>
  <c r="D101" i="4"/>
  <c r="E101" i="4"/>
  <c r="F101" i="4"/>
  <c r="G101" i="4"/>
  <c r="H101" i="4"/>
  <c r="I101" i="4"/>
  <c r="J101" i="4"/>
  <c r="K101" i="4"/>
  <c r="L101" i="4"/>
  <c r="M101" i="4"/>
  <c r="N101" i="4"/>
  <c r="O101" i="4"/>
  <c r="P101" i="4"/>
  <c r="Q101" i="4"/>
  <c r="R101" i="4"/>
  <c r="S101" i="4"/>
  <c r="T101" i="4"/>
  <c r="U101" i="4"/>
  <c r="V101" i="4"/>
  <c r="W101" i="4"/>
  <c r="X101" i="4"/>
  <c r="Y101" i="4"/>
  <c r="Z101" i="4"/>
  <c r="AA101" i="4"/>
  <c r="AB101" i="4"/>
  <c r="AC101" i="4"/>
  <c r="AD101" i="4"/>
  <c r="AE101" i="4"/>
  <c r="AF101" i="4"/>
  <c r="AG101" i="4"/>
  <c r="C102" i="4"/>
  <c r="C222" i="4" s="1"/>
  <c r="E102" i="4"/>
  <c r="E222" i="4" s="1"/>
  <c r="F102" i="4"/>
  <c r="G102" i="4"/>
  <c r="H102" i="4"/>
  <c r="H222" i="4" s="1"/>
  <c r="I102" i="4"/>
  <c r="I222" i="4" s="1"/>
  <c r="J102" i="4"/>
  <c r="J222" i="4" s="1"/>
  <c r="K102" i="4"/>
  <c r="K222" i="4" s="1"/>
  <c r="L102" i="4"/>
  <c r="L222" i="4" s="1"/>
  <c r="M102" i="4"/>
  <c r="M222" i="4" s="1"/>
  <c r="N102" i="4"/>
  <c r="N222" i="4" s="1"/>
  <c r="O102" i="4"/>
  <c r="P102" i="4"/>
  <c r="P222" i="4" s="1"/>
  <c r="Q102" i="4"/>
  <c r="Q222" i="4" s="1"/>
  <c r="R102" i="4"/>
  <c r="R222" i="4" s="1"/>
  <c r="S102" i="4"/>
  <c r="S222" i="4" s="1"/>
  <c r="T102" i="4"/>
  <c r="T222" i="4" s="1"/>
  <c r="U102" i="4"/>
  <c r="U222" i="4" s="1"/>
  <c r="V102" i="4"/>
  <c r="W102" i="4"/>
  <c r="W222" i="4" s="1"/>
  <c r="X102" i="4"/>
  <c r="X222" i="4" s="1"/>
  <c r="Y102" i="4"/>
  <c r="Y222" i="4" s="1"/>
  <c r="Z102" i="4"/>
  <c r="Z222" i="4" s="1"/>
  <c r="AA102" i="4"/>
  <c r="AA222" i="4" s="1"/>
  <c r="AB102" i="4"/>
  <c r="AB222" i="4" s="1"/>
  <c r="AC102" i="4"/>
  <c r="AC222" i="4" s="1"/>
  <c r="AD102" i="4"/>
  <c r="AD222" i="4" s="1"/>
  <c r="AE102" i="4"/>
  <c r="AE222" i="4" s="1"/>
  <c r="AF102" i="4"/>
  <c r="AG102" i="4"/>
  <c r="C103" i="4"/>
  <c r="D103" i="4"/>
  <c r="E103" i="4"/>
  <c r="F103" i="4"/>
  <c r="G103" i="4"/>
  <c r="H103" i="4"/>
  <c r="I103" i="4"/>
  <c r="J103" i="4"/>
  <c r="K103" i="4"/>
  <c r="L103" i="4"/>
  <c r="M103" i="4"/>
  <c r="N103" i="4"/>
  <c r="O103" i="4"/>
  <c r="P103" i="4"/>
  <c r="Q103" i="4"/>
  <c r="R103" i="4"/>
  <c r="S103" i="4"/>
  <c r="T103" i="4"/>
  <c r="U103" i="4"/>
  <c r="V103" i="4"/>
  <c r="W103" i="4"/>
  <c r="X103" i="4"/>
  <c r="Y103" i="4"/>
  <c r="Z103" i="4"/>
  <c r="AA103" i="4"/>
  <c r="AB103" i="4"/>
  <c r="AC103" i="4"/>
  <c r="AD103" i="4"/>
  <c r="AE103" i="4"/>
  <c r="AF103" i="4"/>
  <c r="AG103" i="4"/>
  <c r="C104" i="4"/>
  <c r="D104" i="4"/>
  <c r="E104" i="4"/>
  <c r="F104" i="4"/>
  <c r="G104" i="4"/>
  <c r="H104" i="4"/>
  <c r="I104" i="4"/>
  <c r="J104" i="4"/>
  <c r="K104" i="4"/>
  <c r="L104" i="4"/>
  <c r="M104" i="4"/>
  <c r="N104" i="4"/>
  <c r="O104" i="4"/>
  <c r="P104" i="4"/>
  <c r="Q104" i="4"/>
  <c r="R104" i="4"/>
  <c r="S104" i="4"/>
  <c r="T104" i="4"/>
  <c r="U104" i="4"/>
  <c r="V104" i="4"/>
  <c r="W104" i="4"/>
  <c r="X104" i="4"/>
  <c r="Y104" i="4"/>
  <c r="Z104" i="4"/>
  <c r="AA104" i="4"/>
  <c r="AB104" i="4"/>
  <c r="AC104" i="4"/>
  <c r="AD104" i="4"/>
  <c r="AE104" i="4"/>
  <c r="AF104" i="4"/>
  <c r="AG104" i="4"/>
  <c r="D96" i="4"/>
  <c r="D186" i="4" s="1"/>
  <c r="D189" i="4" s="1"/>
  <c r="E96" i="4"/>
  <c r="G96" i="4"/>
  <c r="H96" i="4"/>
  <c r="H186" i="4" s="1"/>
  <c r="I96" i="4"/>
  <c r="J96" i="4"/>
  <c r="K96" i="4"/>
  <c r="L96" i="4"/>
  <c r="M96" i="4"/>
  <c r="N96" i="4"/>
  <c r="O96" i="4"/>
  <c r="P96" i="4"/>
  <c r="Q96" i="4"/>
  <c r="R96" i="4"/>
  <c r="S96" i="4"/>
  <c r="T96" i="4"/>
  <c r="U96" i="4"/>
  <c r="V96" i="4"/>
  <c r="W96" i="4"/>
  <c r="X96" i="4"/>
  <c r="Y96" i="4"/>
  <c r="Z96" i="4"/>
  <c r="AA96" i="4"/>
  <c r="AB96" i="4"/>
  <c r="AC96" i="4"/>
  <c r="AD96" i="4"/>
  <c r="AE96" i="4"/>
  <c r="AF96" i="4"/>
  <c r="AG96" i="4"/>
  <c r="C96" i="4"/>
  <c r="G201" i="4" l="1"/>
  <c r="G231" i="4" s="1"/>
  <c r="G228" i="4"/>
  <c r="H234" i="4"/>
  <c r="AB234" i="4"/>
  <c r="T234" i="4"/>
  <c r="N234" i="4"/>
  <c r="E198" i="4"/>
  <c r="E201" i="4" s="1"/>
  <c r="E231" i="4" s="1"/>
  <c r="AG198" i="4"/>
  <c r="V198" i="4"/>
  <c r="V201" i="4" s="1"/>
  <c r="V231" i="4" s="1"/>
  <c r="Y198" i="4"/>
  <c r="Y201" i="4" s="1"/>
  <c r="Y231" i="4" s="1"/>
  <c r="AB228" i="4"/>
  <c r="AB231" i="4"/>
  <c r="Q228" i="4"/>
  <c r="Q231" i="4"/>
  <c r="AC228" i="4"/>
  <c r="W198" i="4"/>
  <c r="AE198" i="4"/>
  <c r="AE201" i="4" s="1"/>
  <c r="AE231" i="4" s="1"/>
  <c r="X198" i="4"/>
  <c r="X201" i="4" s="1"/>
  <c r="X231" i="4" s="1"/>
  <c r="AF198" i="4"/>
  <c r="AG222" i="4"/>
  <c r="AF222" i="4"/>
  <c r="Z186" i="4"/>
  <c r="Z189" i="4" s="1"/>
  <c r="Z219" i="4" s="1"/>
  <c r="J186" i="4"/>
  <c r="J189" i="4" s="1"/>
  <c r="J219" i="4" s="1"/>
  <c r="AG186" i="4"/>
  <c r="AG189" i="4" s="1"/>
  <c r="AG219" i="4" s="1"/>
  <c r="U186" i="4"/>
  <c r="U189" i="4" s="1"/>
  <c r="U219" i="4" s="1"/>
  <c r="I186" i="4"/>
  <c r="I216" i="4" s="1"/>
  <c r="V186" i="4"/>
  <c r="V189" i="4" s="1"/>
  <c r="V219" i="4" s="1"/>
  <c r="T186" i="4"/>
  <c r="T216" i="4" s="1"/>
  <c r="H189" i="4"/>
  <c r="H219" i="4" s="1"/>
  <c r="AE186" i="4"/>
  <c r="AE216" i="4" s="1"/>
  <c r="S186" i="4"/>
  <c r="S216" i="4" s="1"/>
  <c r="G186" i="4"/>
  <c r="N186" i="4"/>
  <c r="N189" i="4" s="1"/>
  <c r="N219" i="4" s="1"/>
  <c r="AF186" i="4"/>
  <c r="AF189" i="4" s="1"/>
  <c r="AF219" i="4" s="1"/>
  <c r="AD186" i="4"/>
  <c r="AD189" i="4" s="1"/>
  <c r="AD219" i="4" s="1"/>
  <c r="R186" i="4"/>
  <c r="R216" i="4" s="1"/>
  <c r="F186" i="4"/>
  <c r="F216" i="4" s="1"/>
  <c r="E186" i="4"/>
  <c r="E189" i="4" s="1"/>
  <c r="E219" i="4" s="1"/>
  <c r="AB186" i="4"/>
  <c r="AB189" i="4" s="1"/>
  <c r="AB219" i="4" s="1"/>
  <c r="P186" i="4"/>
  <c r="P189" i="4" s="1"/>
  <c r="P219" i="4" s="1"/>
  <c r="AA186" i="4"/>
  <c r="AA216" i="4" s="1"/>
  <c r="O186" i="4"/>
  <c r="O189" i="4" s="1"/>
  <c r="O219" i="4" s="1"/>
  <c r="J228" i="4"/>
  <c r="J231" i="4"/>
  <c r="K231" i="4"/>
  <c r="K228" i="4"/>
  <c r="L231" i="4"/>
  <c r="L228" i="4"/>
  <c r="I228" i="4"/>
  <c r="I231" i="4"/>
  <c r="M231" i="4"/>
  <c r="M228" i="4"/>
  <c r="N231" i="4"/>
  <c r="N228" i="4"/>
  <c r="Z231" i="4"/>
  <c r="Z228" i="4"/>
  <c r="T228" i="4"/>
  <c r="T231" i="4"/>
  <c r="C228" i="4"/>
  <c r="C231" i="4"/>
  <c r="O228" i="4"/>
  <c r="O231" i="4"/>
  <c r="AA231" i="4"/>
  <c r="AA228" i="4"/>
  <c r="D228" i="4"/>
  <c r="D231" i="4"/>
  <c r="P228" i="4"/>
  <c r="P231" i="4"/>
  <c r="H228" i="4"/>
  <c r="H231" i="4"/>
  <c r="U228" i="4"/>
  <c r="U231" i="4"/>
  <c r="F228" i="4"/>
  <c r="F231" i="4"/>
  <c r="R228" i="4"/>
  <c r="R231" i="4"/>
  <c r="AD228" i="4"/>
  <c r="AD231" i="4"/>
  <c r="S228" i="4"/>
  <c r="S231" i="4"/>
  <c r="Y186" i="4"/>
  <c r="M186" i="4"/>
  <c r="X186" i="4"/>
  <c r="L186" i="4"/>
  <c r="W186" i="4"/>
  <c r="K186" i="4"/>
  <c r="C186" i="4"/>
  <c r="AC231" i="4"/>
  <c r="AC186" i="4"/>
  <c r="Q186" i="4"/>
  <c r="C46" i="2"/>
  <c r="C76" i="2" s="1"/>
  <c r="C106" i="2" s="1"/>
  <c r="D46" i="2"/>
  <c r="D76" i="2" s="1"/>
  <c r="D106" i="2" s="1"/>
  <c r="E46" i="2"/>
  <c r="E76" i="2" s="1"/>
  <c r="E106" i="2" s="1"/>
  <c r="F46" i="2"/>
  <c r="F76" i="2" s="1"/>
  <c r="F106" i="2" s="1"/>
  <c r="G46" i="2"/>
  <c r="G76" i="2" s="1"/>
  <c r="G106" i="2" s="1"/>
  <c r="H46" i="2"/>
  <c r="H76" i="2" s="1"/>
  <c r="H106" i="2" s="1"/>
  <c r="I46" i="2"/>
  <c r="I76" i="2" s="1"/>
  <c r="I106" i="2" s="1"/>
  <c r="J46" i="2"/>
  <c r="J76" i="2" s="1"/>
  <c r="J106" i="2" s="1"/>
  <c r="K46" i="2"/>
  <c r="K76" i="2" s="1"/>
  <c r="K106" i="2" s="1"/>
  <c r="L46" i="2"/>
  <c r="L76" i="2" s="1"/>
  <c r="L106" i="2" s="1"/>
  <c r="M46" i="2"/>
  <c r="M76" i="2" s="1"/>
  <c r="M106" i="2" s="1"/>
  <c r="N46" i="2"/>
  <c r="N76" i="2" s="1"/>
  <c r="N106" i="2" s="1"/>
  <c r="O46" i="2"/>
  <c r="O76" i="2" s="1"/>
  <c r="O106" i="2" s="1"/>
  <c r="P46" i="2"/>
  <c r="P76" i="2" s="1"/>
  <c r="P106" i="2" s="1"/>
  <c r="Q46" i="2"/>
  <c r="Q76" i="2" s="1"/>
  <c r="Q106" i="2" s="1"/>
  <c r="R46" i="2"/>
  <c r="R76" i="2" s="1"/>
  <c r="R106" i="2" s="1"/>
  <c r="S46" i="2"/>
  <c r="S76" i="2" s="1"/>
  <c r="S106" i="2" s="1"/>
  <c r="T46" i="2"/>
  <c r="T76" i="2" s="1"/>
  <c r="T106" i="2" s="1"/>
  <c r="U46" i="2"/>
  <c r="U76" i="2" s="1"/>
  <c r="U106" i="2" s="1"/>
  <c r="V46" i="2"/>
  <c r="V76" i="2" s="1"/>
  <c r="V106" i="2" s="1"/>
  <c r="W46" i="2"/>
  <c r="W76" i="2" s="1"/>
  <c r="W106" i="2" s="1"/>
  <c r="X46" i="2"/>
  <c r="X76" i="2" s="1"/>
  <c r="X106" i="2" s="1"/>
  <c r="Y46" i="2"/>
  <c r="Y76" i="2" s="1"/>
  <c r="Y106" i="2" s="1"/>
  <c r="Z46" i="2"/>
  <c r="Z76" i="2" s="1"/>
  <c r="Z106" i="2" s="1"/>
  <c r="AA46" i="2"/>
  <c r="AA76" i="2" s="1"/>
  <c r="AA106" i="2" s="1"/>
  <c r="AB46" i="2"/>
  <c r="AB76" i="2" s="1"/>
  <c r="AB106" i="2" s="1"/>
  <c r="AC46" i="2"/>
  <c r="AC76" i="2" s="1"/>
  <c r="AC106" i="2" s="1"/>
  <c r="AA89" i="4"/>
  <c r="AA119" i="4" s="1"/>
  <c r="W59" i="4"/>
  <c r="R59" i="4"/>
  <c r="C17" i="10"/>
  <c r="C21" i="10" s="1"/>
  <c r="D17" i="10"/>
  <c r="D21" i="10" s="1"/>
  <c r="E17" i="10"/>
  <c r="E21" i="10" s="1"/>
  <c r="F17" i="10"/>
  <c r="F21" i="10" s="1"/>
  <c r="G17" i="10"/>
  <c r="G21" i="10" s="1"/>
  <c r="H17" i="10"/>
  <c r="H21" i="10" s="1"/>
  <c r="I17" i="10"/>
  <c r="I21" i="10" s="1"/>
  <c r="J17" i="10"/>
  <c r="J21" i="10" s="1"/>
  <c r="K17" i="10"/>
  <c r="K21" i="10" s="1"/>
  <c r="L17" i="10"/>
  <c r="L21" i="10" s="1"/>
  <c r="M17" i="10"/>
  <c r="M21" i="10" s="1"/>
  <c r="N17" i="10"/>
  <c r="N21" i="10" s="1"/>
  <c r="O17" i="10"/>
  <c r="O21" i="10" s="1"/>
  <c r="P17" i="10"/>
  <c r="P21" i="10" s="1"/>
  <c r="Q17" i="10"/>
  <c r="Q21" i="10" s="1"/>
  <c r="R17" i="10"/>
  <c r="R21" i="10" s="1"/>
  <c r="S17" i="10"/>
  <c r="S21" i="10" s="1"/>
  <c r="T17" i="10"/>
  <c r="T21" i="10" s="1"/>
  <c r="U17" i="10"/>
  <c r="U21" i="10" s="1"/>
  <c r="V17" i="10"/>
  <c r="V21" i="10" s="1"/>
  <c r="W17" i="10"/>
  <c r="W21" i="10" s="1"/>
  <c r="X17" i="10"/>
  <c r="X21" i="10" s="1"/>
  <c r="Y17" i="10"/>
  <c r="Y21" i="10" s="1"/>
  <c r="Z17" i="10"/>
  <c r="Z21" i="10" s="1"/>
  <c r="AA17" i="10"/>
  <c r="AA21" i="10" s="1"/>
  <c r="AB17" i="10"/>
  <c r="AB21" i="10" s="1"/>
  <c r="AC17" i="10"/>
  <c r="AC21" i="10" s="1"/>
  <c r="AD21" i="10"/>
  <c r="AE21" i="10"/>
  <c r="AF21" i="10"/>
  <c r="B17" i="10"/>
  <c r="B21" i="10" s="1"/>
  <c r="B16" i="10"/>
  <c r="C3" i="10"/>
  <c r="D3" i="10"/>
  <c r="E3" i="10"/>
  <c r="F3" i="10"/>
  <c r="G3" i="10"/>
  <c r="H3" i="10"/>
  <c r="I3" i="10"/>
  <c r="J3" i="10"/>
  <c r="K3" i="10"/>
  <c r="L3" i="10"/>
  <c r="M3" i="10"/>
  <c r="N3" i="10"/>
  <c r="O3" i="10"/>
  <c r="P3" i="10"/>
  <c r="Q3" i="10"/>
  <c r="R3" i="10"/>
  <c r="S3" i="10"/>
  <c r="T3" i="10"/>
  <c r="U3" i="10"/>
  <c r="V3" i="10"/>
  <c r="W3" i="10"/>
  <c r="X3" i="10"/>
  <c r="Y3" i="10"/>
  <c r="Z3" i="10"/>
  <c r="AA3" i="10"/>
  <c r="AB3" i="10"/>
  <c r="AC3" i="10"/>
  <c r="AD3" i="10"/>
  <c r="AE3" i="10"/>
  <c r="B3" i="10"/>
  <c r="R89" i="4" l="1"/>
  <c r="R119" i="4" s="1"/>
  <c r="R179" i="4"/>
  <c r="W89" i="4"/>
  <c r="W119" i="4" s="1"/>
  <c r="W179" i="4"/>
  <c r="AE228" i="4"/>
  <c r="AF228" i="4"/>
  <c r="AF201" i="4"/>
  <c r="AF231" i="4" s="1"/>
  <c r="AG228" i="4"/>
  <c r="AG201" i="4"/>
  <c r="AG231" i="4" s="1"/>
  <c r="Y228" i="4"/>
  <c r="V228" i="4"/>
  <c r="W228" i="4"/>
  <c r="W201" i="4"/>
  <c r="W231" i="4" s="1"/>
  <c r="E228" i="4"/>
  <c r="G216" i="4"/>
  <c r="G189" i="4"/>
  <c r="G219" i="4" s="1"/>
  <c r="X228" i="4"/>
  <c r="R209" i="4"/>
  <c r="R239" i="4" s="1"/>
  <c r="W209" i="4"/>
  <c r="W239" i="4" s="1"/>
  <c r="V216" i="4"/>
  <c r="AA189" i="4"/>
  <c r="AA219" i="4" s="1"/>
  <c r="AB216" i="4"/>
  <c r="AE189" i="4"/>
  <c r="AE219" i="4" s="1"/>
  <c r="AF216" i="4"/>
  <c r="AA209" i="4"/>
  <c r="AA239" i="4" s="1"/>
  <c r="AA269" i="4" s="1"/>
  <c r="AA389" i="4" s="1"/>
  <c r="F189" i="4"/>
  <c r="F219" i="4" s="1"/>
  <c r="AG216" i="4"/>
  <c r="AD216" i="4"/>
  <c r="U216" i="4"/>
  <c r="H216" i="4"/>
  <c r="N216" i="4"/>
  <c r="R189" i="4"/>
  <c r="R219" i="4" s="1"/>
  <c r="T189" i="4"/>
  <c r="T219" i="4" s="1"/>
  <c r="O216" i="4"/>
  <c r="E216" i="4"/>
  <c r="J216" i="4"/>
  <c r="S189" i="4"/>
  <c r="S219" i="4" s="1"/>
  <c r="I189" i="4"/>
  <c r="I219" i="4" s="1"/>
  <c r="Z216" i="4"/>
  <c r="P216" i="4"/>
  <c r="W189" i="4"/>
  <c r="W219" i="4" s="1"/>
  <c r="W216" i="4"/>
  <c r="L189" i="4"/>
  <c r="L219" i="4" s="1"/>
  <c r="L216" i="4"/>
  <c r="X189" i="4"/>
  <c r="X219" i="4" s="1"/>
  <c r="X216" i="4"/>
  <c r="D219" i="4"/>
  <c r="D216" i="4"/>
  <c r="C189" i="4"/>
  <c r="C219" i="4" s="1"/>
  <c r="C216" i="4"/>
  <c r="Q189" i="4"/>
  <c r="Q219" i="4" s="1"/>
  <c r="Q216" i="4"/>
  <c r="M189" i="4"/>
  <c r="M219" i="4" s="1"/>
  <c r="M216" i="4"/>
  <c r="AC189" i="4"/>
  <c r="AC219" i="4" s="1"/>
  <c r="AC216" i="4"/>
  <c r="K189" i="4"/>
  <c r="K219" i="4" s="1"/>
  <c r="K216" i="4"/>
  <c r="Y189" i="4"/>
  <c r="Y219" i="4" s="1"/>
  <c r="Y216" i="4"/>
  <c r="AA59" i="2"/>
  <c r="W299" i="4" l="1"/>
  <c r="W269" i="4"/>
  <c r="W329" i="4" s="1"/>
  <c r="R269" i="4"/>
  <c r="R329" i="4" s="1"/>
  <c r="R299" i="4"/>
  <c r="AA359" i="4"/>
  <c r="AA329" i="4"/>
  <c r="AA299" i="4"/>
  <c r="AA419" i="4" s="1"/>
  <c r="R59" i="2"/>
  <c r="W59" i="2"/>
  <c r="D34" i="2"/>
  <c r="D64" i="2" s="1"/>
  <c r="D94" i="2" s="1"/>
  <c r="E34" i="2"/>
  <c r="E64" i="2" s="1"/>
  <c r="E94" i="2" s="1"/>
  <c r="F34" i="2"/>
  <c r="F64" i="2" s="1"/>
  <c r="F94" i="2" s="1"/>
  <c r="G34" i="2"/>
  <c r="G64" i="2" s="1"/>
  <c r="G94" i="2" s="1"/>
  <c r="H34" i="2"/>
  <c r="H64" i="2" s="1"/>
  <c r="H94" i="2" s="1"/>
  <c r="I34" i="2"/>
  <c r="I64" i="2" s="1"/>
  <c r="I94" i="2" s="1"/>
  <c r="J34" i="2"/>
  <c r="J64" i="2" s="1"/>
  <c r="J94" i="2" s="1"/>
  <c r="K34" i="2"/>
  <c r="K64" i="2" s="1"/>
  <c r="K94" i="2" s="1"/>
  <c r="L34" i="2"/>
  <c r="L64" i="2" s="1"/>
  <c r="L94" i="2" s="1"/>
  <c r="M34" i="2"/>
  <c r="M64" i="2" s="1"/>
  <c r="M94" i="2" s="1"/>
  <c r="N34" i="2"/>
  <c r="N64" i="2" s="1"/>
  <c r="N94" i="2" s="1"/>
  <c r="O34" i="2"/>
  <c r="O64" i="2" s="1"/>
  <c r="O94" i="2" s="1"/>
  <c r="P34" i="2"/>
  <c r="P64" i="2" s="1"/>
  <c r="P94" i="2" s="1"/>
  <c r="Q34" i="2"/>
  <c r="Q64" i="2" s="1"/>
  <c r="Q94" i="2" s="1"/>
  <c r="R34" i="2"/>
  <c r="R64" i="2" s="1"/>
  <c r="R94" i="2" s="1"/>
  <c r="S34" i="2"/>
  <c r="S64" i="2" s="1"/>
  <c r="S94" i="2" s="1"/>
  <c r="T34" i="2"/>
  <c r="T64" i="2" s="1"/>
  <c r="T94" i="2" s="1"/>
  <c r="U34" i="2"/>
  <c r="U64" i="2" s="1"/>
  <c r="U94" i="2" s="1"/>
  <c r="V34" i="2"/>
  <c r="V64" i="2" s="1"/>
  <c r="V94" i="2" s="1"/>
  <c r="W34" i="2"/>
  <c r="W64" i="2" s="1"/>
  <c r="W94" i="2" s="1"/>
  <c r="X34" i="2"/>
  <c r="X64" i="2" s="1"/>
  <c r="X94" i="2" s="1"/>
  <c r="Y34" i="2"/>
  <c r="Y64" i="2" s="1"/>
  <c r="Y94" i="2" s="1"/>
  <c r="Z34" i="2"/>
  <c r="Z64" i="2" s="1"/>
  <c r="Z94" i="2" s="1"/>
  <c r="AA34" i="2"/>
  <c r="AA64" i="2" s="1"/>
  <c r="AA94" i="2" s="1"/>
  <c r="AB34" i="2"/>
  <c r="AB64" i="2" s="1"/>
  <c r="AB94" i="2" s="1"/>
  <c r="AC34" i="2"/>
  <c r="AC64" i="2" s="1"/>
  <c r="AC94" i="2" s="1"/>
  <c r="C45" i="4"/>
  <c r="D46" i="4"/>
  <c r="E46" i="4"/>
  <c r="F46" i="4"/>
  <c r="G46" i="4"/>
  <c r="H46" i="4"/>
  <c r="I46" i="4"/>
  <c r="J46" i="4"/>
  <c r="K46" i="4"/>
  <c r="L46" i="4"/>
  <c r="M46" i="4"/>
  <c r="N46" i="4"/>
  <c r="O46" i="4"/>
  <c r="P46" i="4"/>
  <c r="Q46" i="4"/>
  <c r="R46" i="4"/>
  <c r="S46" i="4"/>
  <c r="T46" i="4"/>
  <c r="U46" i="4"/>
  <c r="V46" i="4"/>
  <c r="W46" i="4"/>
  <c r="X46" i="4"/>
  <c r="Y46" i="4"/>
  <c r="Z46" i="4"/>
  <c r="AA46" i="4"/>
  <c r="AB46" i="4"/>
  <c r="AC46" i="4"/>
  <c r="AD46" i="4"/>
  <c r="AE46" i="4"/>
  <c r="AF46" i="4"/>
  <c r="AG46" i="4"/>
  <c r="AG76" i="4" s="1"/>
  <c r="C46" i="4"/>
  <c r="E34" i="4"/>
  <c r="F34" i="4"/>
  <c r="G34" i="4"/>
  <c r="H34" i="4"/>
  <c r="I34" i="4"/>
  <c r="J34" i="4"/>
  <c r="K34" i="4"/>
  <c r="L34" i="4"/>
  <c r="M34" i="4"/>
  <c r="N34" i="4"/>
  <c r="O34" i="4"/>
  <c r="P34" i="4"/>
  <c r="Q34" i="4"/>
  <c r="R34" i="4"/>
  <c r="S34" i="4"/>
  <c r="T34" i="4"/>
  <c r="U34" i="4"/>
  <c r="V34" i="4"/>
  <c r="W34" i="4"/>
  <c r="X34" i="4"/>
  <c r="Y34" i="4"/>
  <c r="Z34" i="4"/>
  <c r="AA34" i="4"/>
  <c r="AB34" i="4"/>
  <c r="AC34" i="4"/>
  <c r="AD34" i="4"/>
  <c r="AE34" i="4"/>
  <c r="AF34" i="4"/>
  <c r="AG34" i="4"/>
  <c r="C34" i="4"/>
  <c r="D34" i="4"/>
  <c r="C33" i="4"/>
  <c r="AA449" i="4" l="1"/>
  <c r="AA479" i="4" s="1"/>
  <c r="AA509" i="4" s="1"/>
  <c r="AA569" i="4" s="1"/>
  <c r="AA599" i="4" s="1"/>
  <c r="N166" i="4"/>
  <c r="N167" i="4" s="1"/>
  <c r="N47" i="4"/>
  <c r="AG35" i="4"/>
  <c r="AG154" i="4"/>
  <c r="AG155" i="4" s="1"/>
  <c r="Y166" i="4"/>
  <c r="Y167" i="4" s="1"/>
  <c r="Y47" i="4"/>
  <c r="M166" i="4"/>
  <c r="M167" i="4" s="1"/>
  <c r="M47" i="4"/>
  <c r="O166" i="4"/>
  <c r="O167" i="4" s="1"/>
  <c r="O47" i="4"/>
  <c r="L166" i="4"/>
  <c r="L167" i="4" s="1"/>
  <c r="L47" i="4"/>
  <c r="AE154" i="4"/>
  <c r="AE155" i="4" s="1"/>
  <c r="AE35" i="4"/>
  <c r="Q154" i="4"/>
  <c r="Q155" i="4" s="1"/>
  <c r="Q35" i="4"/>
  <c r="W166" i="4"/>
  <c r="W167" i="4" s="1"/>
  <c r="W47" i="4"/>
  <c r="K166" i="4"/>
  <c r="K167" i="4" s="1"/>
  <c r="K47" i="4"/>
  <c r="S154" i="4"/>
  <c r="S155" i="4" s="1"/>
  <c r="S35" i="4"/>
  <c r="J47" i="4"/>
  <c r="J166" i="4"/>
  <c r="J167" i="4" s="1"/>
  <c r="AA166" i="4"/>
  <c r="AA167" i="4" s="1"/>
  <c r="AA47" i="4"/>
  <c r="H154" i="4"/>
  <c r="H155" i="4" s="1"/>
  <c r="H35" i="4"/>
  <c r="AD154" i="4"/>
  <c r="AD155" i="4" s="1"/>
  <c r="AD35" i="4"/>
  <c r="C166" i="4"/>
  <c r="C167" i="4" s="1"/>
  <c r="C47" i="4"/>
  <c r="AA35" i="4"/>
  <c r="AA154" i="4"/>
  <c r="AA155" i="4" s="1"/>
  <c r="O35" i="4"/>
  <c r="O154" i="4"/>
  <c r="O155" i="4" s="1"/>
  <c r="AG47" i="4"/>
  <c r="AG166" i="4"/>
  <c r="AG167" i="4" s="1"/>
  <c r="U47" i="4"/>
  <c r="U166" i="4"/>
  <c r="U167" i="4" s="1"/>
  <c r="I47" i="4"/>
  <c r="I166" i="4"/>
  <c r="I167" i="4" s="1"/>
  <c r="U154" i="4"/>
  <c r="U155" i="4" s="1"/>
  <c r="U35" i="4"/>
  <c r="X166" i="4"/>
  <c r="X167" i="4" s="1"/>
  <c r="X47" i="4"/>
  <c r="T47" i="4"/>
  <c r="T166" i="4"/>
  <c r="T167" i="4" s="1"/>
  <c r="C75" i="4"/>
  <c r="C105" i="4" s="1"/>
  <c r="C165" i="4"/>
  <c r="G154" i="4"/>
  <c r="G155" i="4" s="1"/>
  <c r="G35" i="4"/>
  <c r="P35" i="4"/>
  <c r="P154" i="4"/>
  <c r="P155" i="4" s="1"/>
  <c r="V47" i="4"/>
  <c r="V166" i="4"/>
  <c r="V167" i="4" s="1"/>
  <c r="N154" i="4"/>
  <c r="N155" i="4" s="1"/>
  <c r="N35" i="4"/>
  <c r="Y35" i="4"/>
  <c r="Y154" i="4"/>
  <c r="Y155" i="4" s="1"/>
  <c r="AE47" i="4"/>
  <c r="AE166" i="4"/>
  <c r="AE167" i="4" s="1"/>
  <c r="S166" i="4"/>
  <c r="S167" i="4" s="1"/>
  <c r="S47" i="4"/>
  <c r="G166" i="4"/>
  <c r="G167" i="4" s="1"/>
  <c r="G47" i="4"/>
  <c r="T154" i="4"/>
  <c r="T155" i="4" s="1"/>
  <c r="T35" i="4"/>
  <c r="R154" i="4"/>
  <c r="R155" i="4" s="1"/>
  <c r="R35" i="4"/>
  <c r="AC154" i="4"/>
  <c r="AC155" i="4" s="1"/>
  <c r="AC35" i="4"/>
  <c r="Z154" i="4"/>
  <c r="Z155" i="4" s="1"/>
  <c r="Z35" i="4"/>
  <c r="X35" i="4"/>
  <c r="X154" i="4"/>
  <c r="X155" i="4" s="1"/>
  <c r="AD166" i="4"/>
  <c r="AD167" i="4" s="1"/>
  <c r="AD47" i="4"/>
  <c r="R166" i="4"/>
  <c r="R167" i="4" s="1"/>
  <c r="R47" i="4"/>
  <c r="F166" i="4"/>
  <c r="F167" i="4" s="1"/>
  <c r="F47" i="4"/>
  <c r="Z166" i="4"/>
  <c r="Z167" i="4" s="1"/>
  <c r="Z47" i="4"/>
  <c r="E154" i="4"/>
  <c r="E155" i="4" s="1"/>
  <c r="E35" i="4"/>
  <c r="H47" i="4"/>
  <c r="H166" i="4"/>
  <c r="H167" i="4" s="1"/>
  <c r="M35" i="4"/>
  <c r="M154" i="4"/>
  <c r="M155" i="4" s="1"/>
  <c r="Q166" i="4"/>
  <c r="Q167" i="4" s="1"/>
  <c r="Q47" i="4"/>
  <c r="I154" i="4"/>
  <c r="I155" i="4" s="1"/>
  <c r="I35" i="4"/>
  <c r="AF154" i="4"/>
  <c r="AF155" i="4" s="1"/>
  <c r="AF35" i="4"/>
  <c r="F154" i="4"/>
  <c r="F155" i="4" s="1"/>
  <c r="F35" i="4"/>
  <c r="AB154" i="4"/>
  <c r="AB155" i="4" s="1"/>
  <c r="AB35" i="4"/>
  <c r="AF47" i="4"/>
  <c r="AF166" i="4"/>
  <c r="AF167" i="4" s="1"/>
  <c r="C63" i="4"/>
  <c r="C93" i="4" s="1"/>
  <c r="C153" i="4"/>
  <c r="L35" i="4"/>
  <c r="L154" i="4"/>
  <c r="L155" i="4" s="1"/>
  <c r="D154" i="4"/>
  <c r="D155" i="4" s="1"/>
  <c r="D35" i="4"/>
  <c r="W35" i="4"/>
  <c r="W154" i="4"/>
  <c r="W155" i="4" s="1"/>
  <c r="K35" i="4"/>
  <c r="K154" i="4"/>
  <c r="K155" i="4" s="1"/>
  <c r="AC166" i="4"/>
  <c r="AC167" i="4" s="1"/>
  <c r="AC47" i="4"/>
  <c r="E166" i="4"/>
  <c r="E167" i="4" s="1"/>
  <c r="E47" i="4"/>
  <c r="C154" i="4"/>
  <c r="C155" i="4" s="1"/>
  <c r="C35" i="4"/>
  <c r="V154" i="4"/>
  <c r="V155" i="4" s="1"/>
  <c r="V35" i="4"/>
  <c r="J154" i="4"/>
  <c r="J155" i="4" s="1"/>
  <c r="J35" i="4"/>
  <c r="AB166" i="4"/>
  <c r="AB167" i="4" s="1"/>
  <c r="AB47" i="4"/>
  <c r="P166" i="4"/>
  <c r="P167" i="4" s="1"/>
  <c r="P47" i="4"/>
  <c r="D166" i="4"/>
  <c r="D167" i="4" s="1"/>
  <c r="D47" i="4"/>
  <c r="R359" i="4"/>
  <c r="R389" i="4"/>
  <c r="W359" i="4"/>
  <c r="W449" i="4" s="1"/>
  <c r="W389" i="4"/>
  <c r="C195" i="4"/>
  <c r="C225" i="4" s="1"/>
  <c r="C255" i="4" s="1"/>
  <c r="C315" i="4" s="1"/>
  <c r="C183" i="4"/>
  <c r="C213" i="4" s="1"/>
  <c r="P166" i="2"/>
  <c r="AA136" i="2"/>
  <c r="AA196" i="2" s="1"/>
  <c r="O166" i="2"/>
  <c r="AB166" i="2"/>
  <c r="Z166" i="2"/>
  <c r="N166" i="2"/>
  <c r="Y166" i="2"/>
  <c r="M136" i="2"/>
  <c r="M196" i="2" s="1"/>
  <c r="X166" i="2"/>
  <c r="L166" i="2"/>
  <c r="W136" i="2"/>
  <c r="W196" i="2" s="1"/>
  <c r="V136" i="2"/>
  <c r="V196" i="2" s="1"/>
  <c r="U166" i="2"/>
  <c r="Q136" i="2"/>
  <c r="Q196" i="2" s="1"/>
  <c r="T166" i="2"/>
  <c r="AC166" i="2"/>
  <c r="S166" i="2"/>
  <c r="R166" i="2"/>
  <c r="AA64" i="4"/>
  <c r="AA65" i="4" s="1"/>
  <c r="O64" i="4"/>
  <c r="O65" i="4" s="1"/>
  <c r="AG77" i="4"/>
  <c r="U76" i="4"/>
  <c r="U77" i="4" s="1"/>
  <c r="I76" i="4"/>
  <c r="I77" i="4" s="1"/>
  <c r="Z64" i="4"/>
  <c r="Z65" i="4" s="1"/>
  <c r="N64" i="4"/>
  <c r="N65" i="4" s="1"/>
  <c r="AF76" i="4"/>
  <c r="AF77" i="4" s="1"/>
  <c r="T76" i="4"/>
  <c r="T77" i="4" s="1"/>
  <c r="H76" i="4"/>
  <c r="H77" i="4" s="1"/>
  <c r="Y64" i="4"/>
  <c r="Y65" i="4" s="1"/>
  <c r="M64" i="4"/>
  <c r="M65" i="4" s="1"/>
  <c r="AE76" i="4"/>
  <c r="AE77" i="4" s="1"/>
  <c r="S76" i="4"/>
  <c r="S77" i="4" s="1"/>
  <c r="G76" i="4"/>
  <c r="G77" i="4" s="1"/>
  <c r="X64" i="4"/>
  <c r="X65" i="4" s="1"/>
  <c r="AD76" i="4"/>
  <c r="AD77" i="4" s="1"/>
  <c r="R76" i="4"/>
  <c r="R77" i="4" s="1"/>
  <c r="F76" i="4"/>
  <c r="F77" i="4" s="1"/>
  <c r="D64" i="4"/>
  <c r="D65" i="4" s="1"/>
  <c r="W64" i="4"/>
  <c r="W65" i="4" s="1"/>
  <c r="K64" i="4"/>
  <c r="K65" i="4" s="1"/>
  <c r="AC76" i="4"/>
  <c r="AC77" i="4" s="1"/>
  <c r="Q76" i="4"/>
  <c r="Q77" i="4" s="1"/>
  <c r="E76" i="4"/>
  <c r="E77" i="4" s="1"/>
  <c r="C64" i="4"/>
  <c r="C65" i="4" s="1"/>
  <c r="V64" i="4"/>
  <c r="V65" i="4" s="1"/>
  <c r="J64" i="4"/>
  <c r="J65" i="4" s="1"/>
  <c r="AB76" i="4"/>
  <c r="AB77" i="4" s="1"/>
  <c r="P76" i="4"/>
  <c r="P77" i="4" s="1"/>
  <c r="D76" i="4"/>
  <c r="D77" i="4" s="1"/>
  <c r="L64" i="4"/>
  <c r="L65" i="4" s="1"/>
  <c r="AG64" i="4"/>
  <c r="AG65" i="4" s="1"/>
  <c r="U64" i="4"/>
  <c r="U65" i="4" s="1"/>
  <c r="I64" i="4"/>
  <c r="I65" i="4" s="1"/>
  <c r="AA76" i="4"/>
  <c r="AA77" i="4" s="1"/>
  <c r="O76" i="4"/>
  <c r="O77" i="4" s="1"/>
  <c r="AF64" i="4"/>
  <c r="AF65" i="4" s="1"/>
  <c r="H64" i="4"/>
  <c r="H65" i="4" s="1"/>
  <c r="N76" i="4"/>
  <c r="N77" i="4" s="1"/>
  <c r="AE64" i="4"/>
  <c r="AE65" i="4" s="1"/>
  <c r="AD64" i="4"/>
  <c r="AD65" i="4" s="1"/>
  <c r="F64" i="4"/>
  <c r="F65" i="4" s="1"/>
  <c r="X76" i="4"/>
  <c r="X77" i="4" s="1"/>
  <c r="L76" i="4"/>
  <c r="L77" i="4" s="1"/>
  <c r="AC64" i="4"/>
  <c r="AC65" i="4" s="1"/>
  <c r="Q64" i="4"/>
  <c r="Q65" i="4" s="1"/>
  <c r="E64" i="4"/>
  <c r="E65" i="4" s="1"/>
  <c r="W76" i="4"/>
  <c r="W77" i="4" s="1"/>
  <c r="K76" i="4"/>
  <c r="K77" i="4" s="1"/>
  <c r="T64" i="4"/>
  <c r="T65" i="4" s="1"/>
  <c r="Z76" i="4"/>
  <c r="Z77" i="4" s="1"/>
  <c r="S64" i="4"/>
  <c r="S65" i="4" s="1"/>
  <c r="G64" i="4"/>
  <c r="G65" i="4" s="1"/>
  <c r="Y76" i="4"/>
  <c r="Y77" i="4" s="1"/>
  <c r="M76" i="4"/>
  <c r="M77" i="4" s="1"/>
  <c r="R64" i="4"/>
  <c r="R65" i="4" s="1"/>
  <c r="AB64" i="4"/>
  <c r="AB65" i="4" s="1"/>
  <c r="P64" i="4"/>
  <c r="P65" i="4" s="1"/>
  <c r="C76" i="4"/>
  <c r="C77" i="4" s="1"/>
  <c r="V76" i="4"/>
  <c r="V77" i="4" s="1"/>
  <c r="J76" i="4"/>
  <c r="J77" i="4" s="1"/>
  <c r="R419" i="4" l="1"/>
  <c r="R449" i="4"/>
  <c r="C345" i="4"/>
  <c r="C375" i="4"/>
  <c r="R479" i="4"/>
  <c r="R509" i="4" s="1"/>
  <c r="R569" i="4" s="1"/>
  <c r="W419" i="4"/>
  <c r="W479" i="4"/>
  <c r="W509" i="4" s="1"/>
  <c r="W569" i="4" s="1"/>
  <c r="W599" i="4" s="1"/>
  <c r="AA179" i="2"/>
  <c r="AA149" i="2"/>
  <c r="AA209" i="2" s="1"/>
  <c r="AA329" i="2" s="1"/>
  <c r="Q166" i="2"/>
  <c r="T136" i="2"/>
  <c r="T196" i="2" s="1"/>
  <c r="T226" i="2" s="1"/>
  <c r="T346" i="2" s="1"/>
  <c r="AB136" i="2"/>
  <c r="AB196" i="2" s="1"/>
  <c r="AB226" i="2" s="1"/>
  <c r="M166" i="2"/>
  <c r="AA166" i="2"/>
  <c r="X136" i="2"/>
  <c r="X196" i="2" s="1"/>
  <c r="X226" i="2" s="1"/>
  <c r="W226" i="2"/>
  <c r="W346" i="2" s="1"/>
  <c r="W316" i="2"/>
  <c r="W406" i="2" s="1"/>
  <c r="Q226" i="2"/>
  <c r="Q256" i="2" s="1"/>
  <c r="Q316" i="2"/>
  <c r="Q406" i="2" s="1"/>
  <c r="M226" i="2"/>
  <c r="M346" i="2" s="1"/>
  <c r="M316" i="2"/>
  <c r="M406" i="2" s="1"/>
  <c r="AA226" i="2"/>
  <c r="AA346" i="2" s="1"/>
  <c r="AA316" i="2"/>
  <c r="AA406" i="2" s="1"/>
  <c r="V226" i="2"/>
  <c r="V256" i="2" s="1"/>
  <c r="V316" i="2"/>
  <c r="V406" i="2" s="1"/>
  <c r="O136" i="2"/>
  <c r="O196" i="2" s="1"/>
  <c r="C285" i="4"/>
  <c r="C243" i="4"/>
  <c r="C303" i="4" s="1"/>
  <c r="C273" i="4"/>
  <c r="Y136" i="2"/>
  <c r="Y196" i="2" s="1"/>
  <c r="U136" i="2"/>
  <c r="U196" i="2" s="1"/>
  <c r="P136" i="2"/>
  <c r="P196" i="2" s="1"/>
  <c r="L136" i="2"/>
  <c r="L196" i="2" s="1"/>
  <c r="R136" i="2"/>
  <c r="R196" i="2" s="1"/>
  <c r="W166" i="2"/>
  <c r="AC136" i="2"/>
  <c r="AC196" i="2" s="1"/>
  <c r="N136" i="2"/>
  <c r="N196" i="2" s="1"/>
  <c r="Z136" i="2"/>
  <c r="Z196" i="2" s="1"/>
  <c r="F154" i="2"/>
  <c r="V166" i="2"/>
  <c r="K154" i="2"/>
  <c r="R124" i="2"/>
  <c r="R184" i="2" s="1"/>
  <c r="W179" i="2"/>
  <c r="R179" i="2"/>
  <c r="X154" i="2"/>
  <c r="G154" i="2"/>
  <c r="F166" i="2"/>
  <c r="C166" i="2"/>
  <c r="O124" i="2"/>
  <c r="O184" i="2" s="1"/>
  <c r="S154" i="2"/>
  <c r="G166" i="2"/>
  <c r="S136" i="2"/>
  <c r="S196" i="2" s="1"/>
  <c r="AA154" i="2"/>
  <c r="U124" i="2"/>
  <c r="U184" i="2" s="1"/>
  <c r="H136" i="2"/>
  <c r="H196" i="2" s="1"/>
  <c r="Z154" i="2"/>
  <c r="D124" i="2"/>
  <c r="D184" i="2" s="1"/>
  <c r="J124" i="2"/>
  <c r="J184" i="2" s="1"/>
  <c r="I166" i="2"/>
  <c r="N154" i="2"/>
  <c r="P124" i="2"/>
  <c r="P184" i="2" s="1"/>
  <c r="H154" i="2"/>
  <c r="J166" i="2"/>
  <c r="D166" i="2"/>
  <c r="AB154" i="2"/>
  <c r="T154" i="2"/>
  <c r="K166" i="2"/>
  <c r="C154" i="2"/>
  <c r="W154" i="2"/>
  <c r="I154" i="2"/>
  <c r="M154" i="2"/>
  <c r="E154" i="2"/>
  <c r="V154" i="2"/>
  <c r="AC154" i="2"/>
  <c r="Y154" i="2"/>
  <c r="Q154" i="2"/>
  <c r="L154" i="2"/>
  <c r="Q106" i="4"/>
  <c r="Q107" i="4" s="1"/>
  <c r="R106" i="4"/>
  <c r="R107" i="4" s="1"/>
  <c r="C106" i="4"/>
  <c r="C107" i="4" s="1"/>
  <c r="G94" i="4"/>
  <c r="E94" i="4"/>
  <c r="AD94" i="4"/>
  <c r="AA106" i="4"/>
  <c r="AA107" i="4" s="1"/>
  <c r="P106" i="4"/>
  <c r="P107" i="4" s="1"/>
  <c r="M94" i="4"/>
  <c r="Z94" i="4"/>
  <c r="AF94" i="4"/>
  <c r="I94" i="4"/>
  <c r="P94" i="4"/>
  <c r="AE94" i="4"/>
  <c r="Y94" i="4"/>
  <c r="I106" i="4"/>
  <c r="I107" i="4" s="1"/>
  <c r="AD106" i="4"/>
  <c r="AD107" i="4" s="1"/>
  <c r="AC106" i="4"/>
  <c r="AC107" i="4" s="1"/>
  <c r="S94" i="4"/>
  <c r="J94" i="4"/>
  <c r="Z106" i="4"/>
  <c r="Z107" i="4" s="1"/>
  <c r="H106" i="4"/>
  <c r="H107" i="4" s="1"/>
  <c r="T94" i="4"/>
  <c r="H94" i="4"/>
  <c r="AG94" i="4"/>
  <c r="V94" i="4"/>
  <c r="AB106" i="4"/>
  <c r="AB107" i="4" s="1"/>
  <c r="Q94" i="4"/>
  <c r="U94" i="4"/>
  <c r="AB94" i="4"/>
  <c r="AC94" i="4"/>
  <c r="N106" i="4"/>
  <c r="N107" i="4" s="1"/>
  <c r="K94" i="4"/>
  <c r="X94" i="4"/>
  <c r="U106" i="4"/>
  <c r="U107" i="4" s="1"/>
  <c r="R94" i="4"/>
  <c r="L106" i="4"/>
  <c r="L107" i="4" s="1"/>
  <c r="W94" i="4"/>
  <c r="G106" i="4"/>
  <c r="G107" i="4" s="1"/>
  <c r="T106" i="4"/>
  <c r="T107" i="4" s="1"/>
  <c r="AG106" i="4"/>
  <c r="AG107" i="4" s="1"/>
  <c r="J106" i="4"/>
  <c r="J107" i="4" s="1"/>
  <c r="M106" i="4"/>
  <c r="M107" i="4" s="1"/>
  <c r="K106" i="4"/>
  <c r="K107" i="4" s="1"/>
  <c r="X106" i="4"/>
  <c r="X107" i="4" s="1"/>
  <c r="L94" i="4"/>
  <c r="C94" i="4"/>
  <c r="D94" i="4"/>
  <c r="S106" i="4"/>
  <c r="S107" i="4" s="1"/>
  <c r="AF106" i="4"/>
  <c r="AF107" i="4" s="1"/>
  <c r="O94" i="4"/>
  <c r="V106" i="4"/>
  <c r="V107" i="4" s="1"/>
  <c r="Y106" i="4"/>
  <c r="Y107" i="4" s="1"/>
  <c r="W106" i="4"/>
  <c r="W107" i="4" s="1"/>
  <c r="F94" i="4"/>
  <c r="O106" i="4"/>
  <c r="O107" i="4" s="1"/>
  <c r="D106" i="4"/>
  <c r="D107" i="4" s="1"/>
  <c r="E106" i="4"/>
  <c r="E107" i="4" s="1"/>
  <c r="F106" i="4"/>
  <c r="F107" i="4" s="1"/>
  <c r="AE106" i="4"/>
  <c r="AE107" i="4" s="1"/>
  <c r="N94" i="4"/>
  <c r="AA94" i="4"/>
  <c r="C405" i="4" l="1"/>
  <c r="C435" i="4"/>
  <c r="C465" i="4" s="1"/>
  <c r="C495" i="4" s="1"/>
  <c r="C555" i="4" s="1"/>
  <c r="C585" i="4" s="1"/>
  <c r="Q346" i="2"/>
  <c r="Q436" i="2" s="1"/>
  <c r="AA239" i="2"/>
  <c r="AA359" i="2" s="1"/>
  <c r="C333" i="4"/>
  <c r="C363" i="4"/>
  <c r="V346" i="2"/>
  <c r="V436" i="2" s="1"/>
  <c r="E166" i="2"/>
  <c r="E136" i="2"/>
  <c r="E196" i="2" s="1"/>
  <c r="E316" i="2" s="1"/>
  <c r="E406" i="2" s="1"/>
  <c r="P154" i="2"/>
  <c r="H166" i="2"/>
  <c r="O154" i="2"/>
  <c r="AB346" i="2"/>
  <c r="AB436" i="2" s="1"/>
  <c r="AB256" i="2"/>
  <c r="M256" i="2"/>
  <c r="AB316" i="2"/>
  <c r="AB406" i="2" s="1"/>
  <c r="T316" i="2"/>
  <c r="T406" i="2" s="1"/>
  <c r="AA256" i="2"/>
  <c r="X346" i="2"/>
  <c r="X436" i="2" s="1"/>
  <c r="X256" i="2"/>
  <c r="W256" i="2"/>
  <c r="X316" i="2"/>
  <c r="X406" i="2" s="1"/>
  <c r="T256" i="2"/>
  <c r="K136" i="2"/>
  <c r="K196" i="2" s="1"/>
  <c r="K226" i="2" s="1"/>
  <c r="U226" i="2"/>
  <c r="U316" i="2"/>
  <c r="U406" i="2" s="1"/>
  <c r="S226" i="2"/>
  <c r="S346" i="2" s="1"/>
  <c r="S436" i="2" s="1"/>
  <c r="S316" i="2"/>
  <c r="S406" i="2" s="1"/>
  <c r="Y226" i="2"/>
  <c r="Y256" i="2" s="1"/>
  <c r="Y316" i="2"/>
  <c r="Y406" i="2" s="1"/>
  <c r="AA124" i="2"/>
  <c r="AA184" i="2" s="1"/>
  <c r="J214" i="2"/>
  <c r="J244" i="2" s="1"/>
  <c r="J304" i="2"/>
  <c r="D214" i="2"/>
  <c r="D244" i="2" s="1"/>
  <c r="D304" i="2"/>
  <c r="Z226" i="2"/>
  <c r="Z316" i="2"/>
  <c r="Z406" i="2" s="1"/>
  <c r="O226" i="2"/>
  <c r="O316" i="2"/>
  <c r="O406" i="2" s="1"/>
  <c r="N226" i="2"/>
  <c r="N316" i="2"/>
  <c r="N406" i="2" s="1"/>
  <c r="AC226" i="2"/>
  <c r="AC316" i="2"/>
  <c r="AC406" i="2" s="1"/>
  <c r="P214" i="2"/>
  <c r="P334" i="2" s="1"/>
  <c r="P304" i="2"/>
  <c r="H226" i="2"/>
  <c r="H346" i="2" s="1"/>
  <c r="H316" i="2"/>
  <c r="H406" i="2" s="1"/>
  <c r="R226" i="2"/>
  <c r="R316" i="2"/>
  <c r="R406" i="2" s="1"/>
  <c r="U214" i="2"/>
  <c r="U334" i="2" s="1"/>
  <c r="U304" i="2"/>
  <c r="L226" i="2"/>
  <c r="L316" i="2"/>
  <c r="L406" i="2" s="1"/>
  <c r="O214" i="2"/>
  <c r="O244" i="2" s="1"/>
  <c r="O304" i="2"/>
  <c r="R214" i="2"/>
  <c r="R334" i="2" s="1"/>
  <c r="R364" i="2" s="1"/>
  <c r="R304" i="2"/>
  <c r="P226" i="2"/>
  <c r="P346" i="2" s="1"/>
  <c r="P436" i="2" s="1"/>
  <c r="P316" i="2"/>
  <c r="P406" i="2" s="1"/>
  <c r="F124" i="2"/>
  <c r="F184" i="2" s="1"/>
  <c r="N124" i="2"/>
  <c r="N184" i="2" s="1"/>
  <c r="U154" i="2"/>
  <c r="T124" i="2"/>
  <c r="T184" i="2" s="1"/>
  <c r="M124" i="2"/>
  <c r="M184" i="2" s="1"/>
  <c r="Q124" i="2"/>
  <c r="Q184" i="2" s="1"/>
  <c r="D154" i="2"/>
  <c r="J154" i="2"/>
  <c r="D136" i="2"/>
  <c r="D196" i="2" s="1"/>
  <c r="Y124" i="2"/>
  <c r="Y184" i="2" s="1"/>
  <c r="X124" i="2"/>
  <c r="X184" i="2" s="1"/>
  <c r="G136" i="2"/>
  <c r="G196" i="2" s="1"/>
  <c r="W149" i="2"/>
  <c r="W209" i="2" s="1"/>
  <c r="G124" i="2"/>
  <c r="G184" i="2" s="1"/>
  <c r="K124" i="2"/>
  <c r="K184" i="2" s="1"/>
  <c r="I124" i="2"/>
  <c r="I184" i="2" s="1"/>
  <c r="F136" i="2"/>
  <c r="F196" i="2" s="1"/>
  <c r="E124" i="2"/>
  <c r="E184" i="2" s="1"/>
  <c r="W124" i="2"/>
  <c r="W184" i="2" s="1"/>
  <c r="AB124" i="2"/>
  <c r="AB184" i="2" s="1"/>
  <c r="I136" i="2"/>
  <c r="I196" i="2" s="1"/>
  <c r="R154" i="2"/>
  <c r="C136" i="2"/>
  <c r="C196" i="2" s="1"/>
  <c r="V124" i="2"/>
  <c r="V184" i="2" s="1"/>
  <c r="L124" i="2"/>
  <c r="L184" i="2" s="1"/>
  <c r="J136" i="2"/>
  <c r="J196" i="2" s="1"/>
  <c r="H124" i="2"/>
  <c r="H184" i="2" s="1"/>
  <c r="Z124" i="2"/>
  <c r="Z184" i="2" s="1"/>
  <c r="R149" i="2"/>
  <c r="R209" i="2" s="1"/>
  <c r="S124" i="2"/>
  <c r="S184" i="2" s="1"/>
  <c r="C124" i="2"/>
  <c r="C184" i="2" s="1"/>
  <c r="AC124" i="2"/>
  <c r="AC184" i="2" s="1"/>
  <c r="V556" i="2"/>
  <c r="Q556" i="2"/>
  <c r="M436" i="2"/>
  <c r="W436" i="2"/>
  <c r="AA436" i="2"/>
  <c r="T436" i="2"/>
  <c r="AA419" i="2"/>
  <c r="AA449" i="2" s="1"/>
  <c r="AA479" i="2" s="1"/>
  <c r="D95" i="4"/>
  <c r="R95" i="4"/>
  <c r="AB95" i="4"/>
  <c r="H95" i="4"/>
  <c r="AD95" i="4"/>
  <c r="I95" i="4"/>
  <c r="T95" i="4"/>
  <c r="AF95" i="4"/>
  <c r="E95" i="4"/>
  <c r="C95" i="4"/>
  <c r="U95" i="4"/>
  <c r="L95" i="4"/>
  <c r="X95" i="4"/>
  <c r="Q95" i="4"/>
  <c r="Z95" i="4"/>
  <c r="G95" i="4"/>
  <c r="O95" i="4"/>
  <c r="K95" i="4"/>
  <c r="Y95" i="4"/>
  <c r="M95" i="4"/>
  <c r="AA95" i="4"/>
  <c r="W95" i="4"/>
  <c r="V95" i="4"/>
  <c r="J95" i="4"/>
  <c r="AE95" i="4"/>
  <c r="N95" i="4"/>
  <c r="F95" i="4"/>
  <c r="AC95" i="4"/>
  <c r="AG95" i="4"/>
  <c r="S95" i="4"/>
  <c r="P95" i="4"/>
  <c r="C423" i="4" l="1"/>
  <c r="C453" i="4" s="1"/>
  <c r="C483" i="4" s="1"/>
  <c r="C543" i="4" s="1"/>
  <c r="C573" i="4" s="1"/>
  <c r="T556" i="2"/>
  <c r="AA269" i="2"/>
  <c r="AA299" i="2" s="1"/>
  <c r="R424" i="2"/>
  <c r="R514" i="2" s="1"/>
  <c r="R394" i="2"/>
  <c r="C393" i="4"/>
  <c r="AB556" i="2"/>
  <c r="AB526" i="2"/>
  <c r="Y616" i="2"/>
  <c r="H256" i="2"/>
  <c r="J334" i="2"/>
  <c r="J364" i="2" s="1"/>
  <c r="AA556" i="2"/>
  <c r="E226" i="2"/>
  <c r="E346" i="2" s="1"/>
  <c r="E436" i="2" s="1"/>
  <c r="X556" i="2"/>
  <c r="U244" i="2"/>
  <c r="K316" i="2"/>
  <c r="K406" i="2" s="1"/>
  <c r="AB616" i="2"/>
  <c r="AB646" i="2" s="1"/>
  <c r="O334" i="2"/>
  <c r="O364" i="2" s="1"/>
  <c r="Y346" i="2"/>
  <c r="Y436" i="2" s="1"/>
  <c r="Y586" i="2" s="1"/>
  <c r="M616" i="2"/>
  <c r="M556" i="2"/>
  <c r="M526" i="2"/>
  <c r="X496" i="2"/>
  <c r="S256" i="2"/>
  <c r="S616" i="2" s="1"/>
  <c r="X616" i="2"/>
  <c r="W616" i="2"/>
  <c r="W556" i="2"/>
  <c r="D334" i="2"/>
  <c r="K346" i="2"/>
  <c r="K436" i="2" s="1"/>
  <c r="K256" i="2"/>
  <c r="T526" i="2"/>
  <c r="T616" i="2"/>
  <c r="T646" i="2" s="1"/>
  <c r="Y556" i="2"/>
  <c r="Z214" i="2"/>
  <c r="Z304" i="2"/>
  <c r="F226" i="2"/>
  <c r="F316" i="2"/>
  <c r="F406" i="2" s="1"/>
  <c r="H214" i="2"/>
  <c r="H334" i="2" s="1"/>
  <c r="H364" i="2" s="1"/>
  <c r="H304" i="2"/>
  <c r="I214" i="2"/>
  <c r="I304" i="2"/>
  <c r="Q214" i="2"/>
  <c r="Q304" i="2"/>
  <c r="AC346" i="2"/>
  <c r="AC436" i="2" s="1"/>
  <c r="AC586" i="2" s="1"/>
  <c r="AC256" i="2"/>
  <c r="J226" i="2"/>
  <c r="J346" i="2" s="1"/>
  <c r="J436" i="2" s="1"/>
  <c r="J316" i="2"/>
  <c r="J406" i="2" s="1"/>
  <c r="K214" i="2"/>
  <c r="K334" i="2" s="1"/>
  <c r="K364" i="2" s="1"/>
  <c r="K304" i="2"/>
  <c r="M214" i="2"/>
  <c r="M334" i="2" s="1"/>
  <c r="M364" i="2" s="1"/>
  <c r="M304" i="2"/>
  <c r="L214" i="2"/>
  <c r="L244" i="2" s="1"/>
  <c r="L304" i="2"/>
  <c r="T214" i="2"/>
  <c r="T304" i="2"/>
  <c r="L256" i="2"/>
  <c r="L346" i="2"/>
  <c r="L436" i="2" s="1"/>
  <c r="L586" i="2" s="1"/>
  <c r="V214" i="2"/>
  <c r="V334" i="2" s="1"/>
  <c r="V364" i="2" s="1"/>
  <c r="V304" i="2"/>
  <c r="G214" i="2"/>
  <c r="G334" i="2" s="1"/>
  <c r="G364" i="2" s="1"/>
  <c r="G304" i="2"/>
  <c r="AA214" i="2"/>
  <c r="AA304" i="2"/>
  <c r="R239" i="2"/>
  <c r="R359" i="2" s="1"/>
  <c r="R419" i="2" s="1"/>
  <c r="R449" i="2" s="1"/>
  <c r="R479" i="2" s="1"/>
  <c r="R329" i="2"/>
  <c r="P244" i="2"/>
  <c r="C226" i="2"/>
  <c r="C316" i="2"/>
  <c r="C406" i="2" s="1"/>
  <c r="N214" i="2"/>
  <c r="N334" i="2" s="1"/>
  <c r="N364" i="2" s="1"/>
  <c r="N304" i="2"/>
  <c r="N346" i="2"/>
  <c r="N436" i="2" s="1"/>
  <c r="N586" i="2" s="1"/>
  <c r="N256" i="2"/>
  <c r="W239" i="2"/>
  <c r="W359" i="2" s="1"/>
  <c r="W419" i="2" s="1"/>
  <c r="W449" i="2" s="1"/>
  <c r="W479" i="2" s="1"/>
  <c r="W329" i="2"/>
  <c r="P256" i="2"/>
  <c r="P526" i="2" s="1"/>
  <c r="R244" i="2"/>
  <c r="I226" i="2"/>
  <c r="I256" i="2" s="1"/>
  <c r="I316" i="2"/>
  <c r="I406" i="2" s="1"/>
  <c r="G226" i="2"/>
  <c r="G346" i="2" s="1"/>
  <c r="G436" i="2" s="1"/>
  <c r="G316" i="2"/>
  <c r="G406" i="2" s="1"/>
  <c r="F214" i="2"/>
  <c r="F334" i="2" s="1"/>
  <c r="F364" i="2" s="1"/>
  <c r="F304" i="2"/>
  <c r="R346" i="2"/>
  <c r="R436" i="2" s="1"/>
  <c r="R586" i="2" s="1"/>
  <c r="R256" i="2"/>
  <c r="O346" i="2"/>
  <c r="O436" i="2" s="1"/>
  <c r="O586" i="2" s="1"/>
  <c r="O256" i="2"/>
  <c r="AC214" i="2"/>
  <c r="AC334" i="2" s="1"/>
  <c r="AC364" i="2" s="1"/>
  <c r="AC304" i="2"/>
  <c r="AB214" i="2"/>
  <c r="AB334" i="2" s="1"/>
  <c r="AB364" i="2" s="1"/>
  <c r="AB304" i="2"/>
  <c r="X214" i="2"/>
  <c r="X244" i="2" s="1"/>
  <c r="X304" i="2"/>
  <c r="C214" i="2"/>
  <c r="C244" i="2" s="1"/>
  <c r="C304" i="2"/>
  <c r="W214" i="2"/>
  <c r="W304" i="2"/>
  <c r="Y214" i="2"/>
  <c r="Y304" i="2"/>
  <c r="Z346" i="2"/>
  <c r="Z436" i="2" s="1"/>
  <c r="Z586" i="2" s="1"/>
  <c r="Z256" i="2"/>
  <c r="S214" i="2"/>
  <c r="S304" i="2"/>
  <c r="E214" i="2"/>
  <c r="E304" i="2"/>
  <c r="D226" i="2"/>
  <c r="D316" i="2"/>
  <c r="D406" i="2" s="1"/>
  <c r="U346" i="2"/>
  <c r="U436" i="2" s="1"/>
  <c r="U586" i="2" s="1"/>
  <c r="U256" i="2"/>
  <c r="H556" i="2"/>
  <c r="V616" i="2"/>
  <c r="AA616" i="2"/>
  <c r="Q616" i="2"/>
  <c r="X586" i="2"/>
  <c r="AB586" i="2"/>
  <c r="AA586" i="2"/>
  <c r="W586" i="2"/>
  <c r="T586" i="2"/>
  <c r="S586" i="2"/>
  <c r="V586" i="2"/>
  <c r="Q586" i="2"/>
  <c r="M586" i="2"/>
  <c r="P586" i="2"/>
  <c r="AA539" i="2"/>
  <c r="AA509" i="2"/>
  <c r="AA569" i="2" s="1"/>
  <c r="Y526" i="2"/>
  <c r="Y496" i="2"/>
  <c r="AA526" i="2"/>
  <c r="AA496" i="2"/>
  <c r="V526" i="2"/>
  <c r="V496" i="2"/>
  <c r="AB496" i="2"/>
  <c r="Q526" i="2"/>
  <c r="Q496" i="2"/>
  <c r="W526" i="2"/>
  <c r="W496" i="2"/>
  <c r="X526" i="2"/>
  <c r="H436" i="2"/>
  <c r="P364" i="2"/>
  <c r="U364" i="2"/>
  <c r="R484" i="2" l="1"/>
  <c r="H424" i="2"/>
  <c r="H514" i="2" s="1"/>
  <c r="H394" i="2"/>
  <c r="M424" i="2"/>
  <c r="M514" i="2" s="1"/>
  <c r="M394" i="2"/>
  <c r="G424" i="2"/>
  <c r="G514" i="2" s="1"/>
  <c r="G394" i="2"/>
  <c r="K424" i="2"/>
  <c r="K514" i="2" s="1"/>
  <c r="K394" i="2"/>
  <c r="J424" i="2"/>
  <c r="J514" i="2" s="1"/>
  <c r="J394" i="2"/>
  <c r="J454" i="2" s="1"/>
  <c r="J544" i="2" s="1"/>
  <c r="P424" i="2"/>
  <c r="P514" i="2" s="1"/>
  <c r="P394" i="2"/>
  <c r="P454" i="2" s="1"/>
  <c r="P544" i="2" s="1"/>
  <c r="F424" i="2"/>
  <c r="F484" i="2" s="1"/>
  <c r="F394" i="2"/>
  <c r="N424" i="2"/>
  <c r="N514" i="2" s="1"/>
  <c r="N394" i="2"/>
  <c r="U424" i="2"/>
  <c r="U394" i="2"/>
  <c r="U454" i="2" s="1"/>
  <c r="U544" i="2" s="1"/>
  <c r="V424" i="2"/>
  <c r="V484" i="2" s="1"/>
  <c r="V394" i="2"/>
  <c r="AB424" i="2"/>
  <c r="AB514" i="2" s="1"/>
  <c r="AB394" i="2"/>
  <c r="O424" i="2"/>
  <c r="O484" i="2" s="1"/>
  <c r="O394" i="2"/>
  <c r="O454" i="2" s="1"/>
  <c r="O544" i="2" s="1"/>
  <c r="AC424" i="2"/>
  <c r="AC484" i="2" s="1"/>
  <c r="AC394" i="2"/>
  <c r="E256" i="2"/>
  <c r="E526" i="2" s="1"/>
  <c r="W269" i="2"/>
  <c r="W299" i="2" s="1"/>
  <c r="S556" i="2"/>
  <c r="H244" i="2"/>
  <c r="D364" i="2"/>
  <c r="P496" i="2"/>
  <c r="G244" i="2"/>
  <c r="AC244" i="2"/>
  <c r="P616" i="2"/>
  <c r="M496" i="2"/>
  <c r="T496" i="2"/>
  <c r="K556" i="2"/>
  <c r="K526" i="2"/>
  <c r="S526" i="2"/>
  <c r="P556" i="2"/>
  <c r="C334" i="2"/>
  <c r="C364" i="2" s="1"/>
  <c r="J256" i="2"/>
  <c r="J616" i="2" s="1"/>
  <c r="G256" i="2"/>
  <c r="G556" i="2" s="1"/>
  <c r="K616" i="2"/>
  <c r="K646" i="2" s="1"/>
  <c r="K736" i="2" s="1"/>
  <c r="V244" i="2"/>
  <c r="X334" i="2"/>
  <c r="X364" i="2" s="1"/>
  <c r="K244" i="2"/>
  <c r="I526" i="2"/>
  <c r="R269" i="2"/>
  <c r="R299" i="2" s="1"/>
  <c r="AB244" i="2"/>
  <c r="D346" i="2"/>
  <c r="D436" i="2" s="1"/>
  <c r="D586" i="2" s="1"/>
  <c r="D256" i="2"/>
  <c r="AC556" i="2"/>
  <c r="AC616" i="2"/>
  <c r="L556" i="2"/>
  <c r="L616" i="2"/>
  <c r="L646" i="2" s="1"/>
  <c r="L676" i="2" s="1"/>
  <c r="Z556" i="2"/>
  <c r="Z616" i="2"/>
  <c r="Z646" i="2" s="1"/>
  <c r="Z736" i="2" s="1"/>
  <c r="Z766" i="2" s="1"/>
  <c r="Z796" i="2" s="1"/>
  <c r="R454" i="2"/>
  <c r="R544" i="2" s="1"/>
  <c r="E334" i="2"/>
  <c r="E364" i="2" s="1"/>
  <c r="E244" i="2"/>
  <c r="C346" i="2"/>
  <c r="C436" i="2" s="1"/>
  <c r="C586" i="2" s="1"/>
  <c r="C256" i="2"/>
  <c r="I556" i="2"/>
  <c r="T334" i="2"/>
  <c r="T364" i="2" s="1"/>
  <c r="T244" i="2"/>
  <c r="Q334" i="2"/>
  <c r="Q364" i="2" s="1"/>
  <c r="Q244" i="2"/>
  <c r="I334" i="2"/>
  <c r="I364" i="2" s="1"/>
  <c r="I244" i="2"/>
  <c r="F244" i="2"/>
  <c r="O616" i="2"/>
  <c r="O646" i="2" s="1"/>
  <c r="O706" i="2" s="1"/>
  <c r="O556" i="2"/>
  <c r="AA334" i="2"/>
  <c r="AA364" i="2" s="1"/>
  <c r="AA244" i="2"/>
  <c r="L334" i="2"/>
  <c r="L364" i="2" s="1"/>
  <c r="I346" i="2"/>
  <c r="I436" i="2" s="1"/>
  <c r="I586" i="2" s="1"/>
  <c r="Y244" i="2"/>
  <c r="Y334" i="2"/>
  <c r="Y364" i="2" s="1"/>
  <c r="N244" i="2"/>
  <c r="U616" i="2"/>
  <c r="U646" i="2" s="1"/>
  <c r="U706" i="2" s="1"/>
  <c r="U556" i="2"/>
  <c r="R616" i="2"/>
  <c r="R646" i="2" s="1"/>
  <c r="R706" i="2" s="1"/>
  <c r="R556" i="2"/>
  <c r="N556" i="2"/>
  <c r="N616" i="2"/>
  <c r="F346" i="2"/>
  <c r="F436" i="2" s="1"/>
  <c r="F586" i="2" s="1"/>
  <c r="F256" i="2"/>
  <c r="S334" i="2"/>
  <c r="S364" i="2" s="1"/>
  <c r="S244" i="2"/>
  <c r="W334" i="2"/>
  <c r="W364" i="2" s="1"/>
  <c r="W244" i="2"/>
  <c r="M244" i="2"/>
  <c r="Z244" i="2"/>
  <c r="Z334" i="2"/>
  <c r="Z364" i="2" s="1"/>
  <c r="AB676" i="2"/>
  <c r="AB706" i="2"/>
  <c r="T676" i="2"/>
  <c r="T706" i="2"/>
  <c r="T736" i="2"/>
  <c r="T766" i="2" s="1"/>
  <c r="T796" i="2" s="1"/>
  <c r="AB736" i="2"/>
  <c r="S646" i="2"/>
  <c r="S706" i="2" s="1"/>
  <c r="W646" i="2"/>
  <c r="W706" i="2" s="1"/>
  <c r="Y646" i="2"/>
  <c r="Y706" i="2" s="1"/>
  <c r="M646" i="2"/>
  <c r="M706" i="2" s="1"/>
  <c r="AA646" i="2"/>
  <c r="AA706" i="2" s="1"/>
  <c r="V646" i="2"/>
  <c r="V706" i="2" s="1"/>
  <c r="Q646" i="2"/>
  <c r="Q706" i="2" s="1"/>
  <c r="X646" i="2"/>
  <c r="X706" i="2" s="1"/>
  <c r="R604" i="2"/>
  <c r="R634" i="2" s="1"/>
  <c r="I616" i="2"/>
  <c r="I646" i="2" s="1"/>
  <c r="H616" i="2"/>
  <c r="K586" i="2"/>
  <c r="G586" i="2"/>
  <c r="H586" i="2"/>
  <c r="J586" i="2"/>
  <c r="E586" i="2"/>
  <c r="AA599" i="2"/>
  <c r="AA629" i="2" s="1"/>
  <c r="R574" i="2"/>
  <c r="H526" i="2"/>
  <c r="H496" i="2"/>
  <c r="W539" i="2"/>
  <c r="W509" i="2"/>
  <c r="W569" i="2" s="1"/>
  <c r="V514" i="2"/>
  <c r="R539" i="2"/>
  <c r="R509" i="2"/>
  <c r="R569" i="2" s="1"/>
  <c r="U514" i="2"/>
  <c r="U484" i="2"/>
  <c r="N196" i="4"/>
  <c r="N197" i="4" s="1"/>
  <c r="Y196" i="4"/>
  <c r="Y197" i="4" s="1"/>
  <c r="P184" i="4"/>
  <c r="V196" i="4"/>
  <c r="V197" i="4" s="1"/>
  <c r="AB196" i="4"/>
  <c r="AB197" i="4" s="1"/>
  <c r="O196" i="4"/>
  <c r="O197" i="4" s="1"/>
  <c r="T184" i="4"/>
  <c r="L196" i="4"/>
  <c r="L197" i="4" s="1"/>
  <c r="AF184" i="4"/>
  <c r="F196" i="4"/>
  <c r="F197" i="4" s="1"/>
  <c r="H196" i="4"/>
  <c r="H197" i="4" s="1"/>
  <c r="I196" i="4"/>
  <c r="I197" i="4" s="1"/>
  <c r="G196" i="4"/>
  <c r="G197" i="4" s="1"/>
  <c r="Z184" i="4"/>
  <c r="C196" i="4"/>
  <c r="C197" i="4" s="1"/>
  <c r="S184" i="4"/>
  <c r="K184" i="4"/>
  <c r="J184" i="4"/>
  <c r="X184" i="4"/>
  <c r="Q184" i="4"/>
  <c r="O184" i="4"/>
  <c r="AA196" i="4"/>
  <c r="AA197" i="4" s="1"/>
  <c r="Q196" i="4"/>
  <c r="Q197" i="4" s="1"/>
  <c r="M184" i="4"/>
  <c r="W196" i="4"/>
  <c r="W197" i="4" s="1"/>
  <c r="F184" i="4"/>
  <c r="E196" i="4"/>
  <c r="E197" i="4" s="1"/>
  <c r="J196" i="4"/>
  <c r="J197" i="4" s="1"/>
  <c r="D196" i="4"/>
  <c r="D197" i="4" s="1"/>
  <c r="AG184" i="4"/>
  <c r="W184" i="4"/>
  <c r="AB184" i="4"/>
  <c r="L184" i="4"/>
  <c r="AA184" i="4"/>
  <c r="C184" i="4"/>
  <c r="U184" i="4"/>
  <c r="Z196" i="4"/>
  <c r="Z197" i="4" s="1"/>
  <c r="AD196" i="4"/>
  <c r="AD197" i="4" s="1"/>
  <c r="K196" i="4"/>
  <c r="K197" i="4" s="1"/>
  <c r="R184" i="4"/>
  <c r="R196" i="4"/>
  <c r="R197" i="4" s="1"/>
  <c r="I184" i="4"/>
  <c r="H184" i="4"/>
  <c r="V184" i="4"/>
  <c r="AD184" i="4"/>
  <c r="T196" i="4"/>
  <c r="T197" i="4" s="1"/>
  <c r="D184" i="4"/>
  <c r="AF196" i="4"/>
  <c r="AF197" i="4" s="1"/>
  <c r="P196" i="4"/>
  <c r="P197" i="4" s="1"/>
  <c r="AC196" i="4"/>
  <c r="AC197" i="4" s="1"/>
  <c r="U196" i="4"/>
  <c r="U197" i="4" s="1"/>
  <c r="X196" i="4"/>
  <c r="X197" i="4" s="1"/>
  <c r="M196" i="4"/>
  <c r="M197" i="4" s="1"/>
  <c r="N184" i="4"/>
  <c r="Y184" i="4"/>
  <c r="AC184" i="4"/>
  <c r="AG196" i="4"/>
  <c r="AG197" i="4" s="1"/>
  <c r="G184" i="4"/>
  <c r="S196" i="4"/>
  <c r="S197" i="4" s="1"/>
  <c r="AE184" i="4"/>
  <c r="AE196" i="4"/>
  <c r="AE197" i="4" s="1"/>
  <c r="E184" i="4"/>
  <c r="N454" i="2" l="1"/>
  <c r="N544" i="2" s="1"/>
  <c r="N484" i="2"/>
  <c r="N574" i="2" s="1"/>
  <c r="AC514" i="2"/>
  <c r="AC604" i="2" s="1"/>
  <c r="AC634" i="2" s="1"/>
  <c r="F514" i="2"/>
  <c r="F604" i="2" s="1"/>
  <c r="F634" i="2" s="1"/>
  <c r="G454" i="2"/>
  <c r="G544" i="2" s="1"/>
  <c r="H484" i="2"/>
  <c r="H574" i="2" s="1"/>
  <c r="K454" i="2"/>
  <c r="K544" i="2" s="1"/>
  <c r="M454" i="2"/>
  <c r="M544" i="2" s="1"/>
  <c r="G484" i="2"/>
  <c r="G574" i="2" s="1"/>
  <c r="AC454" i="2"/>
  <c r="AC544" i="2" s="1"/>
  <c r="J484" i="2"/>
  <c r="O514" i="2"/>
  <c r="O604" i="2" s="1"/>
  <c r="O634" i="2" s="1"/>
  <c r="AB484" i="2"/>
  <c r="AB574" i="2" s="1"/>
  <c r="P484" i="2"/>
  <c r="P574" i="2" s="1"/>
  <c r="M484" i="2"/>
  <c r="M574" i="2" s="1"/>
  <c r="K484" i="2"/>
  <c r="K574" i="2" s="1"/>
  <c r="W424" i="2"/>
  <c r="W514" i="2" s="1"/>
  <c r="W604" i="2" s="1"/>
  <c r="W634" i="2" s="1"/>
  <c r="W394" i="2"/>
  <c r="W454" i="2" s="1"/>
  <c r="W544" i="2" s="1"/>
  <c r="Y424" i="2"/>
  <c r="Y514" i="2" s="1"/>
  <c r="Y604" i="2" s="1"/>
  <c r="Y634" i="2" s="1"/>
  <c r="Y394" i="2"/>
  <c r="Y454" i="2" s="1"/>
  <c r="Y544" i="2" s="1"/>
  <c r="Q424" i="2"/>
  <c r="Q514" i="2" s="1"/>
  <c r="Q604" i="2" s="1"/>
  <c r="Q634" i="2" s="1"/>
  <c r="Q394" i="2"/>
  <c r="Q454" i="2" s="1"/>
  <c r="Q544" i="2" s="1"/>
  <c r="I424" i="2"/>
  <c r="I514" i="2" s="1"/>
  <c r="I604" i="2" s="1"/>
  <c r="I634" i="2" s="1"/>
  <c r="I394" i="2"/>
  <c r="I454" i="2" s="1"/>
  <c r="I544" i="2" s="1"/>
  <c r="S424" i="2"/>
  <c r="S514" i="2" s="1"/>
  <c r="S604" i="2" s="1"/>
  <c r="S634" i="2" s="1"/>
  <c r="S394" i="2"/>
  <c r="S454" i="2" s="1"/>
  <c r="S544" i="2" s="1"/>
  <c r="T424" i="2"/>
  <c r="T484" i="2" s="1"/>
  <c r="T574" i="2" s="1"/>
  <c r="T394" i="2"/>
  <c r="T454" i="2" s="1"/>
  <c r="T544" i="2" s="1"/>
  <c r="C424" i="2"/>
  <c r="C514" i="2" s="1"/>
  <c r="C394" i="2"/>
  <c r="C454" i="2" s="1"/>
  <c r="C544" i="2" s="1"/>
  <c r="L424" i="2"/>
  <c r="L514" i="2" s="1"/>
  <c r="L604" i="2" s="1"/>
  <c r="L634" i="2" s="1"/>
  <c r="L394" i="2"/>
  <c r="L454" i="2" s="1"/>
  <c r="L544" i="2" s="1"/>
  <c r="D424" i="2"/>
  <c r="D484" i="2" s="1"/>
  <c r="D574" i="2" s="1"/>
  <c r="D394" i="2"/>
  <c r="D454" i="2" s="1"/>
  <c r="D544" i="2" s="1"/>
  <c r="AA424" i="2"/>
  <c r="AA484" i="2" s="1"/>
  <c r="AA574" i="2" s="1"/>
  <c r="AA394" i="2"/>
  <c r="AA454" i="2" s="1"/>
  <c r="AA544" i="2" s="1"/>
  <c r="AB454" i="2"/>
  <c r="AB544" i="2" s="1"/>
  <c r="E424" i="2"/>
  <c r="E514" i="2" s="1"/>
  <c r="E604" i="2" s="1"/>
  <c r="E634" i="2" s="1"/>
  <c r="E394" i="2"/>
  <c r="E454" i="2" s="1"/>
  <c r="E544" i="2" s="1"/>
  <c r="Z424" i="2"/>
  <c r="Z484" i="2" s="1"/>
  <c r="Z574" i="2" s="1"/>
  <c r="Z394" i="2"/>
  <c r="Z454" i="2" s="1"/>
  <c r="Z544" i="2" s="1"/>
  <c r="X424" i="2"/>
  <c r="X514" i="2" s="1"/>
  <c r="X604" i="2" s="1"/>
  <c r="X634" i="2" s="1"/>
  <c r="X394" i="2"/>
  <c r="X454" i="2" s="1"/>
  <c r="X544" i="2" s="1"/>
  <c r="J526" i="2"/>
  <c r="E556" i="2"/>
  <c r="E496" i="2"/>
  <c r="E616" i="2"/>
  <c r="E646" i="2" s="1"/>
  <c r="E676" i="2" s="1"/>
  <c r="AC646" i="2"/>
  <c r="AC706" i="2" s="1"/>
  <c r="H454" i="2"/>
  <c r="H544" i="2" s="1"/>
  <c r="P646" i="2"/>
  <c r="P706" i="2" s="1"/>
  <c r="I496" i="2"/>
  <c r="Z676" i="2"/>
  <c r="Z706" i="2"/>
  <c r="J556" i="2"/>
  <c r="K496" i="2"/>
  <c r="L736" i="2"/>
  <c r="L766" i="2" s="1"/>
  <c r="L796" i="2" s="1"/>
  <c r="S496" i="2"/>
  <c r="L706" i="2"/>
  <c r="V454" i="2"/>
  <c r="V544" i="2" s="1"/>
  <c r="G616" i="2"/>
  <c r="G646" i="2" s="1"/>
  <c r="G736" i="2" s="1"/>
  <c r="R736" i="2"/>
  <c r="R766" i="2" s="1"/>
  <c r="R796" i="2" s="1"/>
  <c r="R676" i="2"/>
  <c r="N496" i="2"/>
  <c r="N526" i="2"/>
  <c r="O526" i="2"/>
  <c r="O496" i="2"/>
  <c r="AC526" i="2"/>
  <c r="AC496" i="2"/>
  <c r="F454" i="2"/>
  <c r="F544" i="2" s="1"/>
  <c r="D616" i="2"/>
  <c r="D646" i="2" s="1"/>
  <c r="D676" i="2" s="1"/>
  <c r="D556" i="2"/>
  <c r="N646" i="2"/>
  <c r="N706" i="2" s="1"/>
  <c r="Z526" i="2"/>
  <c r="Z496" i="2"/>
  <c r="R526" i="2"/>
  <c r="R496" i="2"/>
  <c r="L526" i="2"/>
  <c r="L496" i="2"/>
  <c r="F556" i="2"/>
  <c r="F616" i="2"/>
  <c r="U526" i="2"/>
  <c r="U496" i="2"/>
  <c r="C556" i="2"/>
  <c r="C616" i="2"/>
  <c r="C646" i="2" s="1"/>
  <c r="C676" i="2" s="1"/>
  <c r="I676" i="2"/>
  <c r="I706" i="2"/>
  <c r="K676" i="2"/>
  <c r="K706" i="2"/>
  <c r="T826" i="2"/>
  <c r="T946" i="2" s="1"/>
  <c r="T976" i="2" s="1"/>
  <c r="T886" i="2"/>
  <c r="T916" i="2" s="1"/>
  <c r="K766" i="2"/>
  <c r="K796" i="2" s="1"/>
  <c r="AA839" i="2"/>
  <c r="AA869" i="2" s="1"/>
  <c r="AA659" i="2"/>
  <c r="AB766" i="2"/>
  <c r="AB796" i="2" s="1"/>
  <c r="M676" i="2"/>
  <c r="M736" i="2"/>
  <c r="H646" i="2"/>
  <c r="H706" i="2" s="1"/>
  <c r="R694" i="2"/>
  <c r="R664" i="2"/>
  <c r="R724" i="2" s="1"/>
  <c r="V676" i="2"/>
  <c r="V736" i="2"/>
  <c r="AA676" i="2"/>
  <c r="AA736" i="2"/>
  <c r="Y676" i="2"/>
  <c r="Y736" i="2"/>
  <c r="Q676" i="2"/>
  <c r="Q736" i="2"/>
  <c r="W676" i="2"/>
  <c r="W736" i="2"/>
  <c r="U676" i="2"/>
  <c r="U736" i="2"/>
  <c r="I736" i="2"/>
  <c r="J646" i="2"/>
  <c r="J706" i="2" s="1"/>
  <c r="X676" i="2"/>
  <c r="X736" i="2"/>
  <c r="S676" i="2"/>
  <c r="S736" i="2"/>
  <c r="O676" i="2"/>
  <c r="O736" i="2"/>
  <c r="V604" i="2"/>
  <c r="V634" i="2" s="1"/>
  <c r="P604" i="2"/>
  <c r="P634" i="2" s="1"/>
  <c r="U604" i="2"/>
  <c r="U634" i="2" s="1"/>
  <c r="G604" i="2"/>
  <c r="G634" i="2" s="1"/>
  <c r="M604" i="2"/>
  <c r="M634" i="2" s="1"/>
  <c r="AB604" i="2"/>
  <c r="AB634" i="2" s="1"/>
  <c r="N604" i="2"/>
  <c r="N634" i="2" s="1"/>
  <c r="K604" i="2"/>
  <c r="K634" i="2" s="1"/>
  <c r="J604" i="2"/>
  <c r="J634" i="2" s="1"/>
  <c r="H604" i="2"/>
  <c r="H634" i="2" s="1"/>
  <c r="U574" i="2"/>
  <c r="AC574" i="2"/>
  <c r="R599" i="2"/>
  <c r="R629" i="2" s="1"/>
  <c r="J574" i="2"/>
  <c r="W599" i="2"/>
  <c r="W629" i="2" s="1"/>
  <c r="V574" i="2"/>
  <c r="O574" i="2"/>
  <c r="F574" i="2"/>
  <c r="AC125" i="4"/>
  <c r="F125" i="4"/>
  <c r="H125" i="4"/>
  <c r="W125" i="4"/>
  <c r="X125" i="4"/>
  <c r="T125" i="4"/>
  <c r="AE125" i="4"/>
  <c r="I125" i="4"/>
  <c r="U125" i="4"/>
  <c r="AG125" i="4"/>
  <c r="J125" i="4"/>
  <c r="M125" i="4"/>
  <c r="D125" i="4"/>
  <c r="C125" i="4"/>
  <c r="K125" i="4"/>
  <c r="N125" i="4"/>
  <c r="G125" i="4"/>
  <c r="R125" i="4"/>
  <c r="AA125" i="4"/>
  <c r="S125" i="4"/>
  <c r="AD125" i="4"/>
  <c r="L125" i="4"/>
  <c r="O125" i="4"/>
  <c r="AF125" i="4"/>
  <c r="P125" i="4"/>
  <c r="V125" i="4"/>
  <c r="AB125" i="4"/>
  <c r="Q125" i="4"/>
  <c r="Z125" i="4"/>
  <c r="Y125" i="4"/>
  <c r="E125" i="4"/>
  <c r="R886" i="2" l="1"/>
  <c r="R916" i="2" s="1"/>
  <c r="K826" i="2"/>
  <c r="K946" i="2" s="1"/>
  <c r="K976" i="2" s="1"/>
  <c r="L826" i="2"/>
  <c r="L946" i="2" s="1"/>
  <c r="L976" i="2" s="1"/>
  <c r="AB826" i="2"/>
  <c r="AB946" i="2" s="1"/>
  <c r="AB976" i="2" s="1"/>
  <c r="D514" i="2"/>
  <c r="D604" i="2" s="1"/>
  <c r="D634" i="2" s="1"/>
  <c r="D694" i="2" s="1"/>
  <c r="E736" i="2"/>
  <c r="E766" i="2" s="1"/>
  <c r="E796" i="2" s="1"/>
  <c r="Y484" i="2"/>
  <c r="Y574" i="2" s="1"/>
  <c r="W484" i="2"/>
  <c r="W574" i="2" s="1"/>
  <c r="S484" i="2"/>
  <c r="S574" i="2" s="1"/>
  <c r="Q484" i="2"/>
  <c r="Q574" i="2" s="1"/>
  <c r="L484" i="2"/>
  <c r="L574" i="2" s="1"/>
  <c r="I484" i="2"/>
  <c r="I574" i="2" s="1"/>
  <c r="C484" i="2"/>
  <c r="C574" i="2" s="1"/>
  <c r="R754" i="2"/>
  <c r="R784" i="2" s="1"/>
  <c r="R814" i="2" s="1"/>
  <c r="T514" i="2"/>
  <c r="T604" i="2" s="1"/>
  <c r="T634" i="2" s="1"/>
  <c r="T664" i="2" s="1"/>
  <c r="T724" i="2" s="1"/>
  <c r="AB886" i="2"/>
  <c r="AB916" i="2" s="1"/>
  <c r="AA514" i="2"/>
  <c r="AA604" i="2" s="1"/>
  <c r="AA634" i="2" s="1"/>
  <c r="AA694" i="2" s="1"/>
  <c r="X484" i="2"/>
  <c r="X574" i="2" s="1"/>
  <c r="Z514" i="2"/>
  <c r="Z604" i="2" s="1"/>
  <c r="Z634" i="2" s="1"/>
  <c r="Z664" i="2" s="1"/>
  <c r="Z724" i="2" s="1"/>
  <c r="E484" i="2"/>
  <c r="E574" i="2" s="1"/>
  <c r="E706" i="2"/>
  <c r="P736" i="2"/>
  <c r="P766" i="2" s="1"/>
  <c r="P796" i="2" s="1"/>
  <c r="P676" i="2"/>
  <c r="J496" i="2"/>
  <c r="AC736" i="2"/>
  <c r="AC766" i="2" s="1"/>
  <c r="AC796" i="2" s="1"/>
  <c r="AC676" i="2"/>
  <c r="D736" i="2"/>
  <c r="D766" i="2" s="1"/>
  <c r="D796" i="2" s="1"/>
  <c r="D706" i="2"/>
  <c r="K886" i="2"/>
  <c r="K916" i="2" s="1"/>
  <c r="G706" i="2"/>
  <c r="G676" i="2"/>
  <c r="L886" i="2"/>
  <c r="L916" i="2" s="1"/>
  <c r="R826" i="2"/>
  <c r="R946" i="2" s="1"/>
  <c r="R976" i="2" s="1"/>
  <c r="F646" i="2"/>
  <c r="F706" i="2" s="1"/>
  <c r="C736" i="2"/>
  <c r="C766" i="2" s="1"/>
  <c r="C796" i="2" s="1"/>
  <c r="N736" i="2"/>
  <c r="N766" i="2" s="1"/>
  <c r="N796" i="2" s="1"/>
  <c r="N676" i="2"/>
  <c r="C706" i="2"/>
  <c r="G526" i="2"/>
  <c r="G496" i="2"/>
  <c r="C526" i="2"/>
  <c r="C496" i="2"/>
  <c r="F526" i="2"/>
  <c r="F496" i="2"/>
  <c r="Z886" i="2"/>
  <c r="Z916" i="2" s="1"/>
  <c r="Z826" i="2"/>
  <c r="Z946" i="2" s="1"/>
  <c r="Z976" i="2" s="1"/>
  <c r="D526" i="2"/>
  <c r="D496" i="2"/>
  <c r="AA899" i="2"/>
  <c r="AA929" i="2" s="1"/>
  <c r="AA959" i="2" s="1"/>
  <c r="T856" i="2"/>
  <c r="K856" i="2"/>
  <c r="V766" i="2"/>
  <c r="V796" i="2" s="1"/>
  <c r="W766" i="2"/>
  <c r="W796" i="2" s="1"/>
  <c r="X766" i="2"/>
  <c r="X796" i="2" s="1"/>
  <c r="W839" i="2"/>
  <c r="W659" i="2"/>
  <c r="Y766" i="2"/>
  <c r="Y796" i="2" s="1"/>
  <c r="G766" i="2"/>
  <c r="G796" i="2" s="1"/>
  <c r="R839" i="2"/>
  <c r="R659" i="2"/>
  <c r="O766" i="2"/>
  <c r="O796" i="2" s="1"/>
  <c r="M766" i="2"/>
  <c r="M796" i="2" s="1"/>
  <c r="AA689" i="2"/>
  <c r="AA719" i="2" s="1"/>
  <c r="AA779" i="2" s="1"/>
  <c r="AA749" i="2"/>
  <c r="S766" i="2"/>
  <c r="S796" i="2" s="1"/>
  <c r="Q766" i="2"/>
  <c r="Q796" i="2" s="1"/>
  <c r="I766" i="2"/>
  <c r="I796" i="2" s="1"/>
  <c r="AA766" i="2"/>
  <c r="AA796" i="2" s="1"/>
  <c r="U766" i="2"/>
  <c r="U796" i="2" s="1"/>
  <c r="U694" i="2"/>
  <c r="U664" i="2"/>
  <c r="U724" i="2" s="1"/>
  <c r="Q694" i="2"/>
  <c r="Q664" i="2"/>
  <c r="Q724" i="2" s="1"/>
  <c r="W694" i="2"/>
  <c r="W664" i="2"/>
  <c r="W724" i="2" s="1"/>
  <c r="N694" i="2"/>
  <c r="N664" i="2"/>
  <c r="N724" i="2" s="1"/>
  <c r="P694" i="2"/>
  <c r="P664" i="2"/>
  <c r="P724" i="2" s="1"/>
  <c r="AB694" i="2"/>
  <c r="AB664" i="2"/>
  <c r="AB724" i="2" s="1"/>
  <c r="O694" i="2"/>
  <c r="O664" i="2"/>
  <c r="O724" i="2" s="1"/>
  <c r="AC694" i="2"/>
  <c r="AC664" i="2"/>
  <c r="AC724" i="2" s="1"/>
  <c r="V694" i="2"/>
  <c r="V664" i="2"/>
  <c r="V724" i="2" s="1"/>
  <c r="I694" i="2"/>
  <c r="I664" i="2"/>
  <c r="I724" i="2" s="1"/>
  <c r="M694" i="2"/>
  <c r="M664" i="2"/>
  <c r="M724" i="2" s="1"/>
  <c r="J676" i="2"/>
  <c r="J736" i="2"/>
  <c r="H676" i="2"/>
  <c r="H736" i="2"/>
  <c r="E694" i="2"/>
  <c r="E664" i="2"/>
  <c r="E724" i="2" s="1"/>
  <c r="F694" i="2"/>
  <c r="F664" i="2"/>
  <c r="F724" i="2" s="1"/>
  <c r="S694" i="2"/>
  <c r="S664" i="2"/>
  <c r="S724" i="2" s="1"/>
  <c r="H694" i="2"/>
  <c r="H664" i="2"/>
  <c r="H724" i="2" s="1"/>
  <c r="G694" i="2"/>
  <c r="G664" i="2"/>
  <c r="G724" i="2" s="1"/>
  <c r="Y694" i="2"/>
  <c r="Y664" i="2"/>
  <c r="Y724" i="2" s="1"/>
  <c r="K694" i="2"/>
  <c r="K664" i="2"/>
  <c r="K724" i="2" s="1"/>
  <c r="L694" i="2"/>
  <c r="L664" i="2"/>
  <c r="L724" i="2" s="1"/>
  <c r="X694" i="2"/>
  <c r="X664" i="2"/>
  <c r="X724" i="2" s="1"/>
  <c r="J694" i="2"/>
  <c r="J664" i="2"/>
  <c r="J724" i="2" s="1"/>
  <c r="C604" i="2"/>
  <c r="C634" i="2" s="1"/>
  <c r="AB856" i="2" l="1"/>
  <c r="L856" i="2"/>
  <c r="E826" i="2"/>
  <c r="E946" i="2" s="1"/>
  <c r="E976" i="2" s="1"/>
  <c r="O886" i="2"/>
  <c r="O916" i="2" s="1"/>
  <c r="D826" i="2"/>
  <c r="G886" i="2"/>
  <c r="G916" i="2" s="1"/>
  <c r="U826" i="2"/>
  <c r="C886" i="2"/>
  <c r="C916" i="2" s="1"/>
  <c r="I826" i="2"/>
  <c r="I946" i="2" s="1"/>
  <c r="I976" i="2" s="1"/>
  <c r="D664" i="2"/>
  <c r="D724" i="2" s="1"/>
  <c r="D754" i="2" s="1"/>
  <c r="D784" i="2" s="1"/>
  <c r="D814" i="2" s="1"/>
  <c r="AB754" i="2"/>
  <c r="AB784" i="2" s="1"/>
  <c r="AB814" i="2" s="1"/>
  <c r="M754" i="2"/>
  <c r="M784" i="2" s="1"/>
  <c r="M814" i="2" s="1"/>
  <c r="E886" i="2"/>
  <c r="E916" i="2" s="1"/>
  <c r="X754" i="2"/>
  <c r="X784" i="2" s="1"/>
  <c r="X814" i="2" s="1"/>
  <c r="AA664" i="2"/>
  <c r="AA724" i="2" s="1"/>
  <c r="AA754" i="2" s="1"/>
  <c r="AA784" i="2" s="1"/>
  <c r="AA814" i="2" s="1"/>
  <c r="Z694" i="2"/>
  <c r="Z754" i="2" s="1"/>
  <c r="Z784" i="2" s="1"/>
  <c r="Z814" i="2" s="1"/>
  <c r="T694" i="2"/>
  <c r="T754" i="2"/>
  <c r="T784" i="2" s="1"/>
  <c r="T814" i="2" s="1"/>
  <c r="S754" i="2"/>
  <c r="S784" i="2" s="1"/>
  <c r="S814" i="2" s="1"/>
  <c r="N754" i="2"/>
  <c r="N784" i="2" s="1"/>
  <c r="N814" i="2" s="1"/>
  <c r="K754" i="2"/>
  <c r="K784" i="2" s="1"/>
  <c r="K814" i="2" s="1"/>
  <c r="E754" i="2"/>
  <c r="E784" i="2" s="1"/>
  <c r="E814" i="2" s="1"/>
  <c r="U886" i="2"/>
  <c r="U916" i="2" s="1"/>
  <c r="O826" i="2"/>
  <c r="Y826" i="2"/>
  <c r="Y886" i="2"/>
  <c r="Y916" i="2" s="1"/>
  <c r="F754" i="2"/>
  <c r="F784" i="2" s="1"/>
  <c r="F814" i="2" s="1"/>
  <c r="I754" i="2"/>
  <c r="I784" i="2" s="1"/>
  <c r="I814" i="2" s="1"/>
  <c r="P754" i="2"/>
  <c r="P784" i="2" s="1"/>
  <c r="P814" i="2" s="1"/>
  <c r="AA826" i="2"/>
  <c r="AA886" i="2"/>
  <c r="AA916" i="2" s="1"/>
  <c r="P826" i="2"/>
  <c r="P886" i="2"/>
  <c r="P916" i="2" s="1"/>
  <c r="Q826" i="2"/>
  <c r="Q886" i="2"/>
  <c r="Q916" i="2" s="1"/>
  <c r="X826" i="2"/>
  <c r="X886" i="2"/>
  <c r="X916" i="2" s="1"/>
  <c r="S826" i="2"/>
  <c r="S886" i="2"/>
  <c r="S916" i="2" s="1"/>
  <c r="W826" i="2"/>
  <c r="W886" i="2"/>
  <c r="W916" i="2" s="1"/>
  <c r="I886" i="2"/>
  <c r="I916" i="2" s="1"/>
  <c r="Y754" i="2"/>
  <c r="Y784" i="2" s="1"/>
  <c r="Y814" i="2" s="1"/>
  <c r="V754" i="2"/>
  <c r="V784" i="2" s="1"/>
  <c r="V814" i="2" s="1"/>
  <c r="W754" i="2"/>
  <c r="W784" i="2" s="1"/>
  <c r="W814" i="2" s="1"/>
  <c r="V826" i="2"/>
  <c r="V886" i="2"/>
  <c r="V916" i="2" s="1"/>
  <c r="L754" i="2"/>
  <c r="L784" i="2" s="1"/>
  <c r="L814" i="2" s="1"/>
  <c r="AC826" i="2"/>
  <c r="AC886" i="2"/>
  <c r="AC916" i="2" s="1"/>
  <c r="G754" i="2"/>
  <c r="G784" i="2" s="1"/>
  <c r="G814" i="2" s="1"/>
  <c r="AC754" i="2"/>
  <c r="AC784" i="2" s="1"/>
  <c r="AC814" i="2" s="1"/>
  <c r="Q754" i="2"/>
  <c r="Q784" i="2" s="1"/>
  <c r="Q814" i="2" s="1"/>
  <c r="M826" i="2"/>
  <c r="M886" i="2"/>
  <c r="M916" i="2" s="1"/>
  <c r="N826" i="2"/>
  <c r="N886" i="2"/>
  <c r="N916" i="2" s="1"/>
  <c r="J754" i="2"/>
  <c r="J784" i="2" s="1"/>
  <c r="J814" i="2" s="1"/>
  <c r="H754" i="2"/>
  <c r="H784" i="2" s="1"/>
  <c r="H814" i="2" s="1"/>
  <c r="O754" i="2"/>
  <c r="O784" i="2" s="1"/>
  <c r="O814" i="2" s="1"/>
  <c r="U754" i="2"/>
  <c r="U784" i="2" s="1"/>
  <c r="U814" i="2" s="1"/>
  <c r="R856" i="2"/>
  <c r="D886" i="2"/>
  <c r="D916" i="2" s="1"/>
  <c r="G826" i="2"/>
  <c r="G946" i="2" s="1"/>
  <c r="G976" i="2" s="1"/>
  <c r="F676" i="2"/>
  <c r="C826" i="2"/>
  <c r="F736" i="2"/>
  <c r="F766" i="2" s="1"/>
  <c r="F796" i="2" s="1"/>
  <c r="Z856" i="2"/>
  <c r="R899" i="2"/>
  <c r="R929" i="2" s="1"/>
  <c r="R959" i="2" s="1"/>
  <c r="R869" i="2"/>
  <c r="W899" i="2"/>
  <c r="W929" i="2" s="1"/>
  <c r="W959" i="2" s="1"/>
  <c r="W869" i="2"/>
  <c r="R874" i="2"/>
  <c r="R844" i="2"/>
  <c r="H766" i="2"/>
  <c r="H796" i="2" s="1"/>
  <c r="W689" i="2"/>
  <c r="W719" i="2" s="1"/>
  <c r="W779" i="2" s="1"/>
  <c r="W749" i="2"/>
  <c r="J766" i="2"/>
  <c r="J796" i="2" s="1"/>
  <c r="R689" i="2"/>
  <c r="R719" i="2" s="1"/>
  <c r="R779" i="2" s="1"/>
  <c r="R749" i="2"/>
  <c r="C694" i="2"/>
  <c r="C664" i="2"/>
  <c r="C724" i="2" s="1"/>
  <c r="I856" i="2" l="1"/>
  <c r="E856" i="2"/>
  <c r="W856" i="2"/>
  <c r="W946" i="2"/>
  <c r="W976" i="2" s="1"/>
  <c r="U856" i="2"/>
  <c r="U946" i="2"/>
  <c r="U976" i="2" s="1"/>
  <c r="R904" i="2"/>
  <c r="R934" i="2"/>
  <c r="R964" i="2" s="1"/>
  <c r="AC856" i="2"/>
  <c r="AC946" i="2"/>
  <c r="AC976" i="2" s="1"/>
  <c r="Y856" i="2"/>
  <c r="Y946" i="2"/>
  <c r="Y976" i="2" s="1"/>
  <c r="X856" i="2"/>
  <c r="X946" i="2"/>
  <c r="X976" i="2" s="1"/>
  <c r="O856" i="2"/>
  <c r="O946" i="2"/>
  <c r="O976" i="2" s="1"/>
  <c r="D856" i="2"/>
  <c r="D946" i="2"/>
  <c r="D976" i="2" s="1"/>
  <c r="S856" i="2"/>
  <c r="S946" i="2"/>
  <c r="S976" i="2" s="1"/>
  <c r="V856" i="2"/>
  <c r="V946" i="2"/>
  <c r="V976" i="2" s="1"/>
  <c r="Q856" i="2"/>
  <c r="Q946" i="2"/>
  <c r="Q976" i="2" s="1"/>
  <c r="N856" i="2"/>
  <c r="N946" i="2"/>
  <c r="N976" i="2" s="1"/>
  <c r="P856" i="2"/>
  <c r="P946" i="2"/>
  <c r="P976" i="2" s="1"/>
  <c r="AA856" i="2"/>
  <c r="AA946" i="2"/>
  <c r="AA976" i="2" s="1"/>
  <c r="C856" i="2"/>
  <c r="C946" i="2"/>
  <c r="C976" i="2" s="1"/>
  <c r="M856" i="2"/>
  <c r="M946" i="2"/>
  <c r="M976" i="2" s="1"/>
  <c r="J826" i="2"/>
  <c r="J886" i="2"/>
  <c r="J916" i="2" s="1"/>
  <c r="C754" i="2"/>
  <c r="C784" i="2" s="1"/>
  <c r="C814" i="2" s="1"/>
  <c r="H826" i="2"/>
  <c r="H886" i="2"/>
  <c r="H916" i="2" s="1"/>
  <c r="F826" i="2"/>
  <c r="F886" i="2"/>
  <c r="F916" i="2" s="1"/>
  <c r="G856" i="2"/>
  <c r="M874" i="2"/>
  <c r="M844" i="2"/>
  <c r="Y874" i="2"/>
  <c r="Y844" i="2"/>
  <c r="E874" i="2"/>
  <c r="E844" i="2"/>
  <c r="W874" i="2"/>
  <c r="W844" i="2"/>
  <c r="X874" i="2"/>
  <c r="X844" i="2"/>
  <c r="N874" i="2"/>
  <c r="N844" i="2"/>
  <c r="AA874" i="2"/>
  <c r="AA844" i="2"/>
  <c r="AB874" i="2"/>
  <c r="AB844" i="2"/>
  <c r="Q874" i="2"/>
  <c r="Q844" i="2"/>
  <c r="V874" i="2"/>
  <c r="V844" i="2"/>
  <c r="G874" i="2"/>
  <c r="G844" i="2"/>
  <c r="U874" i="2"/>
  <c r="U844" i="2"/>
  <c r="S874" i="2"/>
  <c r="S844" i="2"/>
  <c r="AC874" i="2"/>
  <c r="AC844" i="2"/>
  <c r="Z874" i="2"/>
  <c r="Z844" i="2"/>
  <c r="O874" i="2"/>
  <c r="O844" i="2"/>
  <c r="K874" i="2"/>
  <c r="K844" i="2"/>
  <c r="T874" i="2"/>
  <c r="T844" i="2"/>
  <c r="P874" i="2"/>
  <c r="P844" i="2"/>
  <c r="D874" i="2"/>
  <c r="D844" i="2"/>
  <c r="L874" i="2"/>
  <c r="L844" i="2"/>
  <c r="I874" i="2"/>
  <c r="I844" i="2"/>
  <c r="H874" i="2"/>
  <c r="H844" i="2"/>
  <c r="F874" i="2"/>
  <c r="F844" i="2"/>
  <c r="J874" i="2"/>
  <c r="J844" i="2"/>
  <c r="X904" i="2" l="1"/>
  <c r="X934" i="2"/>
  <c r="X964" i="2" s="1"/>
  <c r="H856" i="2"/>
  <c r="H946" i="2"/>
  <c r="H976" i="2" s="1"/>
  <c r="I904" i="2"/>
  <c r="I934" i="2"/>
  <c r="I964" i="2" s="1"/>
  <c r="O904" i="2"/>
  <c r="O934" i="2"/>
  <c r="O964" i="2" s="1"/>
  <c r="V904" i="2"/>
  <c r="V934" i="2"/>
  <c r="V964" i="2" s="1"/>
  <c r="W904" i="2"/>
  <c r="W934" i="2"/>
  <c r="W964" i="2" s="1"/>
  <c r="K904" i="2"/>
  <c r="K934" i="2"/>
  <c r="K964" i="2" s="1"/>
  <c r="L904" i="2"/>
  <c r="L934" i="2"/>
  <c r="L964" i="2" s="1"/>
  <c r="Z904" i="2"/>
  <c r="Z934" i="2"/>
  <c r="Z964" i="2" s="1"/>
  <c r="Q904" i="2"/>
  <c r="Q934" i="2"/>
  <c r="Q964" i="2" s="1"/>
  <c r="E904" i="2"/>
  <c r="E934" i="2"/>
  <c r="E964" i="2" s="1"/>
  <c r="J856" i="2"/>
  <c r="J946" i="2"/>
  <c r="J976" i="2" s="1"/>
  <c r="D904" i="2"/>
  <c r="D934" i="2"/>
  <c r="D964" i="2" s="1"/>
  <c r="Y904" i="2"/>
  <c r="Y934" i="2"/>
  <c r="Y964" i="2" s="1"/>
  <c r="G904" i="2"/>
  <c r="G934" i="2"/>
  <c r="G964" i="2" s="1"/>
  <c r="AC904" i="2"/>
  <c r="AC934" i="2"/>
  <c r="AC964" i="2" s="1"/>
  <c r="J904" i="2"/>
  <c r="J934" i="2"/>
  <c r="J964" i="2" s="1"/>
  <c r="P904" i="2"/>
  <c r="P934" i="2"/>
  <c r="P964" i="2" s="1"/>
  <c r="S904" i="2"/>
  <c r="S934" i="2"/>
  <c r="S964" i="2" s="1"/>
  <c r="AA904" i="2"/>
  <c r="AA934" i="2"/>
  <c r="AA964" i="2" s="1"/>
  <c r="M904" i="2"/>
  <c r="M934" i="2"/>
  <c r="M964" i="2" s="1"/>
  <c r="AB904" i="2"/>
  <c r="AB934" i="2"/>
  <c r="AB964" i="2" s="1"/>
  <c r="H904" i="2"/>
  <c r="H934" i="2"/>
  <c r="H964" i="2" s="1"/>
  <c r="T904" i="2"/>
  <c r="T934" i="2"/>
  <c r="T964" i="2" s="1"/>
  <c r="F904" i="2"/>
  <c r="F934" i="2"/>
  <c r="F964" i="2" s="1"/>
  <c r="U904" i="2"/>
  <c r="U934" i="2"/>
  <c r="U964" i="2" s="1"/>
  <c r="N904" i="2"/>
  <c r="N934" i="2"/>
  <c r="N964" i="2" s="1"/>
  <c r="F856" i="2"/>
  <c r="F946" i="2"/>
  <c r="F976" i="2" s="1"/>
  <c r="C874" i="2"/>
  <c r="C844" i="2"/>
  <c r="C904" i="2" l="1"/>
  <c r="C934" i="2"/>
  <c r="C964" i="2" s="1"/>
  <c r="V226" i="4"/>
  <c r="N214" i="4"/>
  <c r="N274" i="4" s="1"/>
  <c r="N185" i="4"/>
  <c r="H226" i="4"/>
  <c r="H185" i="4"/>
  <c r="H214" i="4"/>
  <c r="H274" i="4" s="1"/>
  <c r="AB185" i="4"/>
  <c r="AB214" i="4"/>
  <c r="AB274" i="4" s="1"/>
  <c r="AG185" i="4"/>
  <c r="AG214" i="4"/>
  <c r="AG274" i="4" s="1"/>
  <c r="S185" i="4"/>
  <c r="S214" i="4"/>
  <c r="S274" i="4" s="1"/>
  <c r="AF226" i="4"/>
  <c r="T185" i="4"/>
  <c r="T214" i="4"/>
  <c r="T274" i="4" s="1"/>
  <c r="AF185" i="4"/>
  <c r="AF214" i="4"/>
  <c r="AF274" i="4" s="1"/>
  <c r="C185" i="4"/>
  <c r="C214" i="4"/>
  <c r="C274" i="4" s="1"/>
  <c r="C275" i="4" s="1"/>
  <c r="C276" i="4" s="1"/>
  <c r="AD185" i="4"/>
  <c r="AD214" i="4"/>
  <c r="AD274" i="4" s="1"/>
  <c r="L185" i="4"/>
  <c r="L214" i="4"/>
  <c r="L274" i="4" s="1"/>
  <c r="AE226" i="4"/>
  <c r="G185" i="4"/>
  <c r="G214" i="4"/>
  <c r="G274" i="4" s="1"/>
  <c r="G275" i="4" s="1"/>
  <c r="Z226" i="4"/>
  <c r="AG226" i="4"/>
  <c r="D185" i="4"/>
  <c r="D214" i="4"/>
  <c r="D274" i="4" s="1"/>
  <c r="D275" i="4" s="1"/>
  <c r="D276" i="4" s="1"/>
  <c r="O226" i="4"/>
  <c r="G226" i="4"/>
  <c r="C226" i="4"/>
  <c r="I185" i="4"/>
  <c r="I214" i="4"/>
  <c r="I274" i="4" s="1"/>
  <c r="N226" i="4"/>
  <c r="M214" i="4"/>
  <c r="M274" i="4" s="1"/>
  <c r="M185" i="4"/>
  <c r="X226" i="4"/>
  <c r="Q185" i="4"/>
  <c r="Q214" i="4"/>
  <c r="Q274" i="4" s="1"/>
  <c r="Z214" i="4"/>
  <c r="Z274" i="4" s="1"/>
  <c r="Z185" i="4"/>
  <c r="J214" i="4"/>
  <c r="J274" i="4" s="1"/>
  <c r="J185" i="4"/>
  <c r="P185" i="4"/>
  <c r="P214" i="4"/>
  <c r="P274" i="4" s="1"/>
  <c r="W226" i="4"/>
  <c r="AC185" i="4"/>
  <c r="AC214" i="4"/>
  <c r="AC274" i="4" s="1"/>
  <c r="AE185" i="4"/>
  <c r="AE214" i="4"/>
  <c r="AE274" i="4" s="1"/>
  <c r="V214" i="4"/>
  <c r="V274" i="4" s="1"/>
  <c r="V185" i="4"/>
  <c r="U226" i="4"/>
  <c r="AD226" i="4"/>
  <c r="AC226" i="4"/>
  <c r="E226" i="4"/>
  <c r="AA185" i="4"/>
  <c r="AA214" i="4"/>
  <c r="AA274" i="4" s="1"/>
  <c r="P226" i="4"/>
  <c r="Y226" i="4"/>
  <c r="K226" i="4"/>
  <c r="F185" i="4"/>
  <c r="F214" i="4"/>
  <c r="F274" i="4" s="1"/>
  <c r="X185" i="4"/>
  <c r="X214" i="4"/>
  <c r="X274" i="4" s="1"/>
  <c r="K185" i="4"/>
  <c r="K214" i="4"/>
  <c r="K274" i="4" s="1"/>
  <c r="S226" i="4"/>
  <c r="W185" i="4"/>
  <c r="W214" i="4"/>
  <c r="W274" i="4" s="1"/>
  <c r="I226" i="4"/>
  <c r="R185" i="4"/>
  <c r="R214" i="4"/>
  <c r="R274" i="4" s="1"/>
  <c r="O185" i="4"/>
  <c r="O214" i="4"/>
  <c r="O274" i="4" s="1"/>
  <c r="L226" i="4"/>
  <c r="J226" i="4"/>
  <c r="U185" i="4"/>
  <c r="U214" i="4"/>
  <c r="U274" i="4" s="1"/>
  <c r="R226" i="4"/>
  <c r="D226" i="4"/>
  <c r="E185" i="4"/>
  <c r="E214" i="4"/>
  <c r="E274" i="4" s="1"/>
  <c r="T226" i="4"/>
  <c r="AB226" i="4"/>
  <c r="M226" i="4"/>
  <c r="Q226" i="4"/>
  <c r="Y214" i="4"/>
  <c r="Y274" i="4" s="1"/>
  <c r="Y185" i="4"/>
  <c r="AA226" i="4"/>
  <c r="F226" i="4"/>
  <c r="P275" i="4" l="1"/>
  <c r="L275" i="4"/>
  <c r="AD275" i="4"/>
  <c r="J275" i="4"/>
  <c r="AB275" i="4"/>
  <c r="U275" i="4"/>
  <c r="Z275" i="4"/>
  <c r="H275" i="4"/>
  <c r="K275" i="4"/>
  <c r="F275" i="4"/>
  <c r="I275" i="4"/>
  <c r="AE275" i="4"/>
  <c r="R275" i="4"/>
  <c r="T275" i="4"/>
  <c r="X275" i="4"/>
  <c r="Y275" i="4"/>
  <c r="O275" i="4"/>
  <c r="Q275" i="4"/>
  <c r="AC275" i="4"/>
  <c r="N275" i="4"/>
  <c r="V275" i="4"/>
  <c r="AF275" i="4"/>
  <c r="E275" i="4"/>
  <c r="E276" i="4" s="1"/>
  <c r="M275" i="4"/>
  <c r="W275" i="4"/>
  <c r="AA275" i="4"/>
  <c r="S275" i="4"/>
  <c r="AG275" i="4"/>
  <c r="W286" i="4"/>
  <c r="W227" i="4"/>
  <c r="N286" i="4"/>
  <c r="N227" i="4"/>
  <c r="AE286" i="4"/>
  <c r="AE287" i="4" s="1"/>
  <c r="AE227" i="4"/>
  <c r="D286" i="4"/>
  <c r="D227" i="4"/>
  <c r="R286" i="4"/>
  <c r="R227" i="4"/>
  <c r="S286" i="4"/>
  <c r="S227" i="4"/>
  <c r="E286" i="4"/>
  <c r="E227" i="4"/>
  <c r="C286" i="4"/>
  <c r="C227" i="4"/>
  <c r="AC286" i="4"/>
  <c r="AC227" i="4"/>
  <c r="AA286" i="4"/>
  <c r="AA227" i="4"/>
  <c r="AD286" i="4"/>
  <c r="AD227" i="4"/>
  <c r="G286" i="4"/>
  <c r="G227" i="4"/>
  <c r="U286" i="4"/>
  <c r="U227" i="4"/>
  <c r="O286" i="4"/>
  <c r="O227" i="4"/>
  <c r="L286" i="4"/>
  <c r="L227" i="4"/>
  <c r="P286" i="4"/>
  <c r="P227" i="4"/>
  <c r="J286" i="4"/>
  <c r="J227" i="4"/>
  <c r="Q286" i="4"/>
  <c r="Q227" i="4"/>
  <c r="M286" i="4"/>
  <c r="M227" i="4"/>
  <c r="AG286" i="4"/>
  <c r="AG227" i="4"/>
  <c r="H286" i="4"/>
  <c r="H227" i="4"/>
  <c r="F286" i="4"/>
  <c r="F227" i="4"/>
  <c r="AB286" i="4"/>
  <c r="AB227" i="4"/>
  <c r="I286" i="4"/>
  <c r="I227" i="4"/>
  <c r="K286" i="4"/>
  <c r="K227" i="4"/>
  <c r="X286" i="4"/>
  <c r="X227" i="4"/>
  <c r="Z286" i="4"/>
  <c r="Z227" i="4"/>
  <c r="T286" i="4"/>
  <c r="T227" i="4"/>
  <c r="Y286" i="4"/>
  <c r="Y227" i="4"/>
  <c r="AF286" i="4"/>
  <c r="AF227" i="4"/>
  <c r="V286" i="4"/>
  <c r="V227" i="4"/>
  <c r="D215" i="4"/>
  <c r="D244" i="4"/>
  <c r="AD215" i="4"/>
  <c r="AD244" i="4"/>
  <c r="AG215" i="4"/>
  <c r="AG244" i="4"/>
  <c r="Y244" i="4"/>
  <c r="Y215" i="4"/>
  <c r="W256" i="4"/>
  <c r="W257" i="4" s="1"/>
  <c r="M244" i="4"/>
  <c r="M215" i="4"/>
  <c r="AC256" i="4"/>
  <c r="AC257" i="4" s="1"/>
  <c r="P215" i="4"/>
  <c r="P244" i="4"/>
  <c r="K256" i="4"/>
  <c r="K257" i="4" s="1"/>
  <c r="R215" i="4"/>
  <c r="R244" i="4"/>
  <c r="AD256" i="4"/>
  <c r="AD257" i="4" s="1"/>
  <c r="AB215" i="4"/>
  <c r="AB244" i="4"/>
  <c r="M256" i="4"/>
  <c r="M257" i="4" s="1"/>
  <c r="U215" i="4"/>
  <c r="U244" i="4"/>
  <c r="W215" i="4"/>
  <c r="W244" i="4"/>
  <c r="Y256" i="4"/>
  <c r="Y257" i="4" s="1"/>
  <c r="U256" i="4"/>
  <c r="U257" i="4" s="1"/>
  <c r="I215" i="4"/>
  <c r="I244" i="4"/>
  <c r="Z256" i="4"/>
  <c r="Z257" i="4" s="1"/>
  <c r="AF215" i="4"/>
  <c r="AF244" i="4"/>
  <c r="H215" i="4"/>
  <c r="H244" i="4"/>
  <c r="Q256" i="4"/>
  <c r="Q257" i="4" s="1"/>
  <c r="J215" i="4"/>
  <c r="J244" i="4"/>
  <c r="F215" i="4"/>
  <c r="F244" i="4"/>
  <c r="I256" i="4"/>
  <c r="I257" i="4" s="1"/>
  <c r="AG256" i="4"/>
  <c r="AG257" i="4" s="1"/>
  <c r="AB256" i="4"/>
  <c r="AB257" i="4" s="1"/>
  <c r="S256" i="4"/>
  <c r="S257" i="4" s="1"/>
  <c r="P256" i="4"/>
  <c r="P257" i="4" s="1"/>
  <c r="C256" i="4"/>
  <c r="C257" i="4" s="1"/>
  <c r="G215" i="4"/>
  <c r="G244" i="4"/>
  <c r="T215" i="4"/>
  <c r="T244" i="4"/>
  <c r="H256" i="4"/>
  <c r="H257" i="4" s="1"/>
  <c r="D256" i="4"/>
  <c r="D257" i="4" s="1"/>
  <c r="R256" i="4"/>
  <c r="R257" i="4" s="1"/>
  <c r="C244" i="4"/>
  <c r="C215" i="4"/>
  <c r="V215" i="4"/>
  <c r="V244" i="4"/>
  <c r="Z244" i="4"/>
  <c r="Z215" i="4"/>
  <c r="N256" i="4"/>
  <c r="N257" i="4" s="1"/>
  <c r="J256" i="4"/>
  <c r="J257" i="4" s="1"/>
  <c r="F256" i="4"/>
  <c r="F257" i="4" s="1"/>
  <c r="T256" i="4"/>
  <c r="T257" i="4" s="1"/>
  <c r="L256" i="4"/>
  <c r="L257" i="4" s="1"/>
  <c r="K215" i="4"/>
  <c r="K244" i="4"/>
  <c r="AA244" i="4"/>
  <c r="AA215" i="4"/>
  <c r="AE215" i="4"/>
  <c r="AE244" i="4"/>
  <c r="Q215" i="4"/>
  <c r="Q244" i="4"/>
  <c r="G256" i="4"/>
  <c r="G257" i="4" s="1"/>
  <c r="AE256" i="4"/>
  <c r="AE257" i="4" s="1"/>
  <c r="AF256" i="4"/>
  <c r="AF257" i="4" s="1"/>
  <c r="N244" i="4"/>
  <c r="N215" i="4"/>
  <c r="AA256" i="4"/>
  <c r="AA257" i="4" s="1"/>
  <c r="E215" i="4"/>
  <c r="E244" i="4"/>
  <c r="O244" i="4"/>
  <c r="O215" i="4"/>
  <c r="X215" i="4"/>
  <c r="X244" i="4"/>
  <c r="E256" i="4"/>
  <c r="E257" i="4" s="1"/>
  <c r="AC215" i="4"/>
  <c r="AC244" i="4"/>
  <c r="X256" i="4"/>
  <c r="X257" i="4" s="1"/>
  <c r="O256" i="4"/>
  <c r="O257" i="4" s="1"/>
  <c r="L215" i="4"/>
  <c r="L244" i="4"/>
  <c r="S215" i="4"/>
  <c r="S244" i="4"/>
  <c r="V256" i="4"/>
  <c r="V257" i="4" s="1"/>
  <c r="F276" i="4" l="1"/>
  <c r="K346" i="4"/>
  <c r="K436" i="4" s="1"/>
  <c r="K437" i="4" s="1"/>
  <c r="E346" i="4"/>
  <c r="E436" i="4" s="1"/>
  <c r="E437" i="4" s="1"/>
  <c r="AF346" i="4"/>
  <c r="AF436" i="4" s="1"/>
  <c r="AF437" i="4" s="1"/>
  <c r="I346" i="4"/>
  <c r="I436" i="4" s="1"/>
  <c r="I437" i="4" s="1"/>
  <c r="Q346" i="4"/>
  <c r="Q436" i="4" s="1"/>
  <c r="Q437" i="4" s="1"/>
  <c r="G346" i="4"/>
  <c r="G436" i="4" s="1"/>
  <c r="G437" i="4" s="1"/>
  <c r="S346" i="4"/>
  <c r="S436" i="4" s="1"/>
  <c r="S437" i="4" s="1"/>
  <c r="Y346" i="4"/>
  <c r="Y436" i="4" s="1"/>
  <c r="Y437" i="4" s="1"/>
  <c r="AB346" i="4"/>
  <c r="AB436" i="4" s="1"/>
  <c r="AB437" i="4" s="1"/>
  <c r="J346" i="4"/>
  <c r="J436" i="4" s="1"/>
  <c r="J437" i="4" s="1"/>
  <c r="AD346" i="4"/>
  <c r="AD436" i="4" s="1"/>
  <c r="AD437" i="4" s="1"/>
  <c r="R346" i="4"/>
  <c r="R436" i="4" s="1"/>
  <c r="R437" i="4" s="1"/>
  <c r="T346" i="4"/>
  <c r="T436" i="4" s="1"/>
  <c r="T437" i="4" s="1"/>
  <c r="F346" i="4"/>
  <c r="F436" i="4" s="1"/>
  <c r="F437" i="4" s="1"/>
  <c r="P346" i="4"/>
  <c r="P436" i="4" s="1"/>
  <c r="P437" i="4" s="1"/>
  <c r="AA346" i="4"/>
  <c r="AA436" i="4" s="1"/>
  <c r="AA437" i="4" s="1"/>
  <c r="D346" i="4"/>
  <c r="D436" i="4" s="1"/>
  <c r="D437" i="4" s="1"/>
  <c r="Z346" i="4"/>
  <c r="Z436" i="4" s="1"/>
  <c r="Z437" i="4" s="1"/>
  <c r="H346" i="4"/>
  <c r="H436" i="4" s="1"/>
  <c r="H437" i="4" s="1"/>
  <c r="L346" i="4"/>
  <c r="L436" i="4" s="1"/>
  <c r="L437" i="4" s="1"/>
  <c r="AC346" i="4"/>
  <c r="AC436" i="4" s="1"/>
  <c r="AC437" i="4" s="1"/>
  <c r="AE346" i="4"/>
  <c r="AE436" i="4" s="1"/>
  <c r="AE437" i="4" s="1"/>
  <c r="X346" i="4"/>
  <c r="X436" i="4" s="1"/>
  <c r="X437" i="4" s="1"/>
  <c r="AG346" i="4"/>
  <c r="AG436" i="4" s="1"/>
  <c r="AG437" i="4" s="1"/>
  <c r="O346" i="4"/>
  <c r="O436" i="4" s="1"/>
  <c r="O437" i="4" s="1"/>
  <c r="C346" i="4"/>
  <c r="C436" i="4" s="1"/>
  <c r="C437" i="4" s="1"/>
  <c r="N346" i="4"/>
  <c r="N436" i="4" s="1"/>
  <c r="N437" i="4" s="1"/>
  <c r="V346" i="4"/>
  <c r="V436" i="4" s="1"/>
  <c r="V437" i="4" s="1"/>
  <c r="M346" i="4"/>
  <c r="M436" i="4" s="1"/>
  <c r="M437" i="4" s="1"/>
  <c r="U346" i="4"/>
  <c r="U436" i="4" s="1"/>
  <c r="U437" i="4" s="1"/>
  <c r="W346" i="4"/>
  <c r="W436" i="4" s="1"/>
  <c r="W437" i="4" s="1"/>
  <c r="L245" i="4"/>
  <c r="L304" i="4"/>
  <c r="L364" i="4" s="1"/>
  <c r="L365" i="4" s="1"/>
  <c r="G316" i="4"/>
  <c r="T316" i="4"/>
  <c r="C316" i="4"/>
  <c r="F245" i="4"/>
  <c r="F304" i="4"/>
  <c r="F364" i="4" s="1"/>
  <c r="F365" i="4" s="1"/>
  <c r="I245" i="4"/>
  <c r="I304" i="4"/>
  <c r="I364" i="4" s="1"/>
  <c r="I365" i="4" s="1"/>
  <c r="AB245" i="4"/>
  <c r="AB304" i="4"/>
  <c r="AB364" i="4" s="1"/>
  <c r="AB365" i="4" s="1"/>
  <c r="O245" i="4"/>
  <c r="O304" i="4"/>
  <c r="O364" i="4" s="1"/>
  <c r="O365" i="4" s="1"/>
  <c r="C304" i="4"/>
  <c r="C364" i="4" s="1"/>
  <c r="C365" i="4" s="1"/>
  <c r="C245" i="4"/>
  <c r="M245" i="4"/>
  <c r="M304" i="4"/>
  <c r="M364" i="4" s="1"/>
  <c r="M365" i="4" s="1"/>
  <c r="AF316" i="4"/>
  <c r="E316" i="4"/>
  <c r="R316" i="4"/>
  <c r="AD316" i="4"/>
  <c r="W316" i="4"/>
  <c r="X316" i="4"/>
  <c r="AA316" i="4"/>
  <c r="AE245" i="4"/>
  <c r="AE304" i="4"/>
  <c r="AE364" i="4" s="1"/>
  <c r="AE365" i="4" s="1"/>
  <c r="D316" i="4"/>
  <c r="S316" i="4"/>
  <c r="Q316" i="4"/>
  <c r="Y316" i="4"/>
  <c r="R245" i="4"/>
  <c r="R304" i="4"/>
  <c r="R364" i="4" s="1"/>
  <c r="R365" i="4" s="1"/>
  <c r="O316" i="4"/>
  <c r="F316" i="4"/>
  <c r="Y245" i="4"/>
  <c r="Y304" i="4"/>
  <c r="Y364" i="4" s="1"/>
  <c r="Y365" i="4" s="1"/>
  <c r="J316" i="4"/>
  <c r="Z245" i="4"/>
  <c r="Z304" i="4"/>
  <c r="Z364" i="4" s="1"/>
  <c r="Z365" i="4" s="1"/>
  <c r="E245" i="4"/>
  <c r="E304" i="4"/>
  <c r="E364" i="4" s="1"/>
  <c r="E365" i="4" s="1"/>
  <c r="Q245" i="4"/>
  <c r="Q304" i="4"/>
  <c r="Q364" i="4" s="1"/>
  <c r="Q365" i="4" s="1"/>
  <c r="P316" i="4"/>
  <c r="J245" i="4"/>
  <c r="J304" i="4"/>
  <c r="U316" i="4"/>
  <c r="AC245" i="4"/>
  <c r="AC304" i="4"/>
  <c r="AC364" i="4" s="1"/>
  <c r="AC365" i="4" s="1"/>
  <c r="N316" i="4"/>
  <c r="H316" i="4"/>
  <c r="AB316" i="4"/>
  <c r="H245" i="4"/>
  <c r="H304" i="4"/>
  <c r="H364" i="4" s="1"/>
  <c r="H365" i="4" s="1"/>
  <c r="W245" i="4"/>
  <c r="W304" i="4"/>
  <c r="W364" i="4" s="1"/>
  <c r="W365" i="4" s="1"/>
  <c r="AG245" i="4"/>
  <c r="AG304" i="4"/>
  <c r="AG364" i="4" s="1"/>
  <c r="AG365" i="4" s="1"/>
  <c r="N245" i="4"/>
  <c r="N304" i="4"/>
  <c r="N364" i="4" s="1"/>
  <c r="N365" i="4" s="1"/>
  <c r="AA304" i="4"/>
  <c r="AA364" i="4" s="1"/>
  <c r="AA365" i="4" s="1"/>
  <c r="AA245" i="4"/>
  <c r="K316" i="4"/>
  <c r="T245" i="4"/>
  <c r="T304" i="4"/>
  <c r="T364" i="4" s="1"/>
  <c r="T365" i="4" s="1"/>
  <c r="AG316" i="4"/>
  <c r="AF245" i="4"/>
  <c r="AF304" i="4"/>
  <c r="AF364" i="4" s="1"/>
  <c r="AF365" i="4" s="1"/>
  <c r="U245" i="4"/>
  <c r="U304" i="4"/>
  <c r="U364" i="4" s="1"/>
  <c r="U365" i="4" s="1"/>
  <c r="P245" i="4"/>
  <c r="P304" i="4"/>
  <c r="P364" i="4" s="1"/>
  <c r="P365" i="4" s="1"/>
  <c r="AD245" i="4"/>
  <c r="AD304" i="4"/>
  <c r="AD364" i="4" s="1"/>
  <c r="AD365" i="4" s="1"/>
  <c r="V316" i="4"/>
  <c r="K245" i="4"/>
  <c r="K304" i="4"/>
  <c r="K364" i="4" s="1"/>
  <c r="K365" i="4" s="1"/>
  <c r="S245" i="4"/>
  <c r="S304" i="4"/>
  <c r="S364" i="4" s="1"/>
  <c r="S365" i="4" s="1"/>
  <c r="X245" i="4"/>
  <c r="X304" i="4"/>
  <c r="X364" i="4" s="1"/>
  <c r="X365" i="4" s="1"/>
  <c r="AE316" i="4"/>
  <c r="L316" i="4"/>
  <c r="V245" i="4"/>
  <c r="V304" i="4"/>
  <c r="V364" i="4" s="1"/>
  <c r="V365" i="4" s="1"/>
  <c r="G245" i="4"/>
  <c r="G304" i="4"/>
  <c r="G364" i="4" s="1"/>
  <c r="G365" i="4" s="1"/>
  <c r="I316" i="4"/>
  <c r="Z316" i="4"/>
  <c r="M316" i="4"/>
  <c r="AC316" i="4"/>
  <c r="D245" i="4"/>
  <c r="D304" i="4"/>
  <c r="D364" i="4" s="1"/>
  <c r="D365" i="4" s="1"/>
  <c r="J364" i="4" l="1"/>
  <c r="J365" i="4" s="1"/>
  <c r="J334" i="4"/>
  <c r="J424" i="4" s="1"/>
  <c r="J425" i="4" s="1"/>
  <c r="G276" i="4"/>
  <c r="H276" i="4" s="1"/>
  <c r="I276" i="4" s="1"/>
  <c r="L376" i="4"/>
  <c r="L377" i="4" s="1"/>
  <c r="L317" i="4"/>
  <c r="AE376" i="4"/>
  <c r="AE377" i="4" s="1"/>
  <c r="AE317" i="4"/>
  <c r="F376" i="4"/>
  <c r="F377" i="4" s="1"/>
  <c r="F317" i="4"/>
  <c r="W376" i="4"/>
  <c r="W377" i="4" s="1"/>
  <c r="W317" i="4"/>
  <c r="O376" i="4"/>
  <c r="O377" i="4" s="1"/>
  <c r="O317" i="4"/>
  <c r="AD376" i="4"/>
  <c r="AD377" i="4" s="1"/>
  <c r="AD317" i="4"/>
  <c r="N376" i="4"/>
  <c r="N377" i="4" s="1"/>
  <c r="N317" i="4"/>
  <c r="AC376" i="4"/>
  <c r="AC377" i="4" s="1"/>
  <c r="AC317" i="4"/>
  <c r="E376" i="4"/>
  <c r="E377" i="4" s="1"/>
  <c r="E317" i="4"/>
  <c r="AG376" i="4"/>
  <c r="AG377" i="4" s="1"/>
  <c r="AG317" i="4"/>
  <c r="Q376" i="4"/>
  <c r="Q377" i="4" s="1"/>
  <c r="Q317" i="4"/>
  <c r="C376" i="4"/>
  <c r="C377" i="4" s="1"/>
  <c r="C317" i="4"/>
  <c r="M376" i="4"/>
  <c r="M377" i="4" s="1"/>
  <c r="M317" i="4"/>
  <c r="Y376" i="4"/>
  <c r="Y377" i="4" s="1"/>
  <c r="Y317" i="4"/>
  <c r="Z376" i="4"/>
  <c r="Z377" i="4" s="1"/>
  <c r="Z317" i="4"/>
  <c r="I376" i="4"/>
  <c r="I377" i="4" s="1"/>
  <c r="I317" i="4"/>
  <c r="AB376" i="4"/>
  <c r="AB377" i="4" s="1"/>
  <c r="AB317" i="4"/>
  <c r="S376" i="4"/>
  <c r="S377" i="4" s="1"/>
  <c r="S317" i="4"/>
  <c r="T376" i="4"/>
  <c r="T377" i="4" s="1"/>
  <c r="T317" i="4"/>
  <c r="P376" i="4"/>
  <c r="P377" i="4" s="1"/>
  <c r="P317" i="4"/>
  <c r="R376" i="4"/>
  <c r="R377" i="4" s="1"/>
  <c r="R317" i="4"/>
  <c r="AF376" i="4"/>
  <c r="AF377" i="4" s="1"/>
  <c r="AF317" i="4"/>
  <c r="V376" i="4"/>
  <c r="V377" i="4" s="1"/>
  <c r="V317" i="4"/>
  <c r="K376" i="4"/>
  <c r="K377" i="4" s="1"/>
  <c r="K317" i="4"/>
  <c r="H376" i="4"/>
  <c r="H377" i="4" s="1"/>
  <c r="H317" i="4"/>
  <c r="D376" i="4"/>
  <c r="D377" i="4" s="1"/>
  <c r="D317" i="4"/>
  <c r="G376" i="4"/>
  <c r="G377" i="4" s="1"/>
  <c r="G317" i="4"/>
  <c r="J376" i="4"/>
  <c r="J377" i="4" s="1"/>
  <c r="J317" i="4"/>
  <c r="AA376" i="4"/>
  <c r="AA377" i="4" s="1"/>
  <c r="AA317" i="4"/>
  <c r="U376" i="4"/>
  <c r="U377" i="4" s="1"/>
  <c r="U317" i="4"/>
  <c r="X376" i="4"/>
  <c r="X377" i="4" s="1"/>
  <c r="X317" i="4"/>
  <c r="P305" i="4"/>
  <c r="P334" i="4"/>
  <c r="P424" i="4" s="1"/>
  <c r="P425" i="4" s="1"/>
  <c r="Q305" i="4"/>
  <c r="Q334" i="4"/>
  <c r="Q424" i="4" s="1"/>
  <c r="Q425" i="4" s="1"/>
  <c r="AE305" i="4"/>
  <c r="AE334" i="4"/>
  <c r="AE424" i="4" s="1"/>
  <c r="AE425" i="4" s="1"/>
  <c r="I305" i="4"/>
  <c r="I334" i="4"/>
  <c r="I424" i="4" s="1"/>
  <c r="I425" i="4" s="1"/>
  <c r="AA305" i="4"/>
  <c r="AA334" i="4"/>
  <c r="AA424" i="4" s="1"/>
  <c r="AA425" i="4" s="1"/>
  <c r="AD305" i="4"/>
  <c r="AD334" i="4"/>
  <c r="AD424" i="4" s="1"/>
  <c r="AD425" i="4" s="1"/>
  <c r="X305" i="4"/>
  <c r="X334" i="4"/>
  <c r="X424" i="4" s="1"/>
  <c r="X425" i="4" s="1"/>
  <c r="U305" i="4"/>
  <c r="U334" i="4"/>
  <c r="U424" i="4" s="1"/>
  <c r="U425" i="4" s="1"/>
  <c r="N305" i="4"/>
  <c r="N334" i="4"/>
  <c r="N424" i="4" s="1"/>
  <c r="N425" i="4" s="1"/>
  <c r="E305" i="4"/>
  <c r="E334" i="4"/>
  <c r="E424" i="4" s="1"/>
  <c r="E425" i="4" s="1"/>
  <c r="R305" i="4"/>
  <c r="R334" i="4"/>
  <c r="R424" i="4" s="1"/>
  <c r="R425" i="4" s="1"/>
  <c r="F305" i="4"/>
  <c r="F334" i="4"/>
  <c r="F424" i="4" s="1"/>
  <c r="F425" i="4" s="1"/>
  <c r="M334" i="4"/>
  <c r="M424" i="4" s="1"/>
  <c r="M425" i="4" s="1"/>
  <c r="M305" i="4"/>
  <c r="D305" i="4"/>
  <c r="D334" i="4"/>
  <c r="D424" i="4" s="1"/>
  <c r="D425" i="4" s="1"/>
  <c r="H305" i="4"/>
  <c r="H334" i="4"/>
  <c r="H424" i="4" s="1"/>
  <c r="H425" i="4" s="1"/>
  <c r="V334" i="4"/>
  <c r="V424" i="4" s="1"/>
  <c r="V425" i="4" s="1"/>
  <c r="V305" i="4"/>
  <c r="T305" i="4"/>
  <c r="T334" i="4"/>
  <c r="T424" i="4" s="1"/>
  <c r="T425" i="4" s="1"/>
  <c r="J305" i="4"/>
  <c r="Y305" i="4"/>
  <c r="Y334" i="4"/>
  <c r="Y424" i="4" s="1"/>
  <c r="Y425" i="4" s="1"/>
  <c r="S305" i="4"/>
  <c r="S334" i="4"/>
  <c r="S424" i="4" s="1"/>
  <c r="S425" i="4" s="1"/>
  <c r="AF305" i="4"/>
  <c r="AF334" i="4"/>
  <c r="AF424" i="4" s="1"/>
  <c r="AF425" i="4" s="1"/>
  <c r="AG305" i="4"/>
  <c r="AG334" i="4"/>
  <c r="AG424" i="4" s="1"/>
  <c r="AG425" i="4" s="1"/>
  <c r="AC305" i="4"/>
  <c r="AC334" i="4"/>
  <c r="AC424" i="4" s="1"/>
  <c r="AC425" i="4" s="1"/>
  <c r="Z305" i="4"/>
  <c r="Z334" i="4"/>
  <c r="Z424" i="4" s="1"/>
  <c r="Z425" i="4" s="1"/>
  <c r="G305" i="4"/>
  <c r="G334" i="4"/>
  <c r="G424" i="4" s="1"/>
  <c r="G425" i="4" s="1"/>
  <c r="K305" i="4"/>
  <c r="K334" i="4"/>
  <c r="K424" i="4" s="1"/>
  <c r="K425" i="4" s="1"/>
  <c r="W305" i="4"/>
  <c r="W334" i="4"/>
  <c r="W424" i="4" s="1"/>
  <c r="W425" i="4" s="1"/>
  <c r="C305" i="4"/>
  <c r="C334" i="4"/>
  <c r="C424" i="4" s="1"/>
  <c r="C425" i="4" s="1"/>
  <c r="O305" i="4"/>
  <c r="O334" i="4"/>
  <c r="O424" i="4" s="1"/>
  <c r="O425" i="4" s="1"/>
  <c r="AB305" i="4"/>
  <c r="AB334" i="4"/>
  <c r="AB424" i="4" s="1"/>
  <c r="AB425" i="4" s="1"/>
  <c r="L305" i="4"/>
  <c r="L334" i="4"/>
  <c r="L424" i="4" s="1"/>
  <c r="L425" i="4" s="1"/>
  <c r="J276" i="4" l="1"/>
  <c r="K276" i="4" s="1"/>
  <c r="L276" i="4" s="1"/>
  <c r="M276" i="4" s="1"/>
  <c r="AB394" i="4"/>
  <c r="AB395" i="4" s="1"/>
  <c r="Q406" i="4"/>
  <c r="Q407" i="4" s="1"/>
  <c r="G394" i="4"/>
  <c r="G395" i="4" s="1"/>
  <c r="AF394" i="4"/>
  <c r="AF395" i="4" s="1"/>
  <c r="N406" i="4"/>
  <c r="N407" i="4" s="1"/>
  <c r="AD394" i="4"/>
  <c r="AD395" i="4" s="1"/>
  <c r="O406" i="4"/>
  <c r="O407" i="4" s="1"/>
  <c r="R406" i="4"/>
  <c r="R407" i="4" s="1"/>
  <c r="M394" i="4"/>
  <c r="M395" i="4" s="1"/>
  <c r="G406" i="4"/>
  <c r="G407" i="4" s="1"/>
  <c r="X406" i="4"/>
  <c r="X407" i="4" s="1"/>
  <c r="S394" i="4"/>
  <c r="S395" i="4" s="1"/>
  <c r="I406" i="4"/>
  <c r="I407" i="4" s="1"/>
  <c r="F394" i="4"/>
  <c r="F395" i="4" s="1"/>
  <c r="N394" i="4"/>
  <c r="N395" i="4" s="1"/>
  <c r="AC406" i="4"/>
  <c r="AC407" i="4" s="1"/>
  <c r="Q394" i="4"/>
  <c r="Q395" i="4" s="1"/>
  <c r="L406" i="4"/>
  <c r="L407" i="4" s="1"/>
  <c r="J406" i="4"/>
  <c r="J407" i="4" s="1"/>
  <c r="V394" i="4"/>
  <c r="V395" i="4" s="1"/>
  <c r="O394" i="4"/>
  <c r="O395" i="4" s="1"/>
  <c r="U406" i="4"/>
  <c r="U407" i="4" s="1"/>
  <c r="Y406" i="4"/>
  <c r="Y407" i="4" s="1"/>
  <c r="U394" i="4"/>
  <c r="U395" i="4" s="1"/>
  <c r="V406" i="4"/>
  <c r="V407" i="4" s="1"/>
  <c r="S406" i="4"/>
  <c r="S407" i="4" s="1"/>
  <c r="AF406" i="4"/>
  <c r="AF407" i="4" s="1"/>
  <c r="AA394" i="4"/>
  <c r="AA395" i="4" s="1"/>
  <c r="H406" i="4"/>
  <c r="H407" i="4" s="1"/>
  <c r="D406" i="4"/>
  <c r="D407" i="4" s="1"/>
  <c r="C394" i="4"/>
  <c r="C395" i="4" s="1"/>
  <c r="W394" i="4"/>
  <c r="W395" i="4" s="1"/>
  <c r="Z394" i="4"/>
  <c r="Z395" i="4" s="1"/>
  <c r="Y394" i="4"/>
  <c r="Y395" i="4" s="1"/>
  <c r="H394" i="4"/>
  <c r="H395" i="4" s="1"/>
  <c r="AA406" i="4"/>
  <c r="AA407" i="4" s="1"/>
  <c r="X394" i="4"/>
  <c r="X395" i="4" s="1"/>
  <c r="I394" i="4"/>
  <c r="I395" i="4" s="1"/>
  <c r="P394" i="4"/>
  <c r="P395" i="4" s="1"/>
  <c r="F406" i="4"/>
  <c r="F407" i="4" s="1"/>
  <c r="AD406" i="4"/>
  <c r="AD407" i="4" s="1"/>
  <c r="T406" i="4"/>
  <c r="T407" i="4" s="1"/>
  <c r="AG406" i="4"/>
  <c r="AG407" i="4" s="1"/>
  <c r="AC394" i="4"/>
  <c r="AC395" i="4" s="1"/>
  <c r="D394" i="4"/>
  <c r="D395" i="4" s="1"/>
  <c r="R394" i="4"/>
  <c r="R395" i="4" s="1"/>
  <c r="Z406" i="4"/>
  <c r="Z407" i="4" s="1"/>
  <c r="E406" i="4"/>
  <c r="E407" i="4" s="1"/>
  <c r="AE406" i="4"/>
  <c r="AE407" i="4" s="1"/>
  <c r="P406" i="4"/>
  <c r="P407" i="4" s="1"/>
  <c r="J394" i="4"/>
  <c r="J395" i="4" s="1"/>
  <c r="L394" i="4"/>
  <c r="L395" i="4" s="1"/>
  <c r="W406" i="4"/>
  <c r="W407" i="4" s="1"/>
  <c r="K394" i="4"/>
  <c r="K395" i="4" s="1"/>
  <c r="AG394" i="4"/>
  <c r="AG395" i="4" s="1"/>
  <c r="T394" i="4"/>
  <c r="T395" i="4" s="1"/>
  <c r="C406" i="4"/>
  <c r="C407" i="4" s="1"/>
  <c r="E394" i="4"/>
  <c r="E395" i="4" s="1"/>
  <c r="AB406" i="4"/>
  <c r="AB407" i="4" s="1"/>
  <c r="AE394" i="4"/>
  <c r="AE395" i="4" s="1"/>
  <c r="M406" i="4"/>
  <c r="M407" i="4" s="1"/>
  <c r="K406" i="4"/>
  <c r="K407" i="4" s="1"/>
  <c r="T347" i="4"/>
  <c r="E347" i="4"/>
  <c r="W347" i="4"/>
  <c r="T335" i="4"/>
  <c r="AB347" i="4"/>
  <c r="AE335" i="4"/>
  <c r="AB335" i="4"/>
  <c r="AD335" i="4"/>
  <c r="AG347" i="4"/>
  <c r="R335" i="4"/>
  <c r="L335" i="4"/>
  <c r="AG335" i="4"/>
  <c r="E335" i="4"/>
  <c r="K347" i="4"/>
  <c r="Q347" i="4"/>
  <c r="G335" i="4"/>
  <c r="AF335" i="4"/>
  <c r="N347" i="4"/>
  <c r="O347" i="4"/>
  <c r="R347" i="4"/>
  <c r="V335" i="4"/>
  <c r="M335" i="4"/>
  <c r="G347" i="4"/>
  <c r="X347" i="4"/>
  <c r="S335" i="4"/>
  <c r="I347" i="4"/>
  <c r="F335" i="4"/>
  <c r="N335" i="4"/>
  <c r="AC347" i="4"/>
  <c r="Q335" i="4"/>
  <c r="L347" i="4"/>
  <c r="O335" i="4"/>
  <c r="U347" i="4"/>
  <c r="Y347" i="4"/>
  <c r="S347" i="4"/>
  <c r="AF347" i="4"/>
  <c r="U335" i="4"/>
  <c r="AA335" i="4"/>
  <c r="H347" i="4"/>
  <c r="D347" i="4"/>
  <c r="J347" i="4"/>
  <c r="V347" i="4"/>
  <c r="C335" i="4"/>
  <c r="W335" i="4"/>
  <c r="Z335" i="4"/>
  <c r="Y335" i="4"/>
  <c r="H335" i="4"/>
  <c r="AA347" i="4"/>
  <c r="X335" i="4"/>
  <c r="I335" i="4"/>
  <c r="P335" i="4"/>
  <c r="F347" i="4"/>
  <c r="AC335" i="4"/>
  <c r="D335" i="4"/>
  <c r="Z347" i="4"/>
  <c r="P347" i="4"/>
  <c r="J335" i="4"/>
  <c r="AD347" i="4"/>
  <c r="AE347" i="4"/>
  <c r="K335" i="4"/>
  <c r="C347" i="4"/>
  <c r="M347" i="4"/>
  <c r="N276" i="4" l="1"/>
  <c r="O276" i="4" s="1"/>
  <c r="P276" i="4" s="1"/>
  <c r="J466" i="4"/>
  <c r="W454" i="4"/>
  <c r="W484" i="4" s="1"/>
  <c r="W544" i="4" s="1"/>
  <c r="Y466" i="4"/>
  <c r="H454" i="4"/>
  <c r="H484" i="4" s="1"/>
  <c r="H544" i="4" s="1"/>
  <c r="I466" i="4"/>
  <c r="M466" i="4"/>
  <c r="W466" i="4"/>
  <c r="Z454" i="4"/>
  <c r="Z484" i="4" s="1"/>
  <c r="Z544" i="4" s="1"/>
  <c r="AD454" i="4"/>
  <c r="AD484" i="4" s="1"/>
  <c r="AD544" i="4" s="1"/>
  <c r="D466" i="4"/>
  <c r="AF454" i="4"/>
  <c r="AF484" i="4" s="1"/>
  <c r="AF544" i="4" s="1"/>
  <c r="AC454" i="4"/>
  <c r="AC484" i="4" s="1"/>
  <c r="AC544" i="4" s="1"/>
  <c r="S454" i="4"/>
  <c r="S484" i="4" s="1"/>
  <c r="S544" i="4" s="1"/>
  <c r="AE454" i="4"/>
  <c r="AE484" i="4" s="1"/>
  <c r="AE544" i="4" s="1"/>
  <c r="U454" i="4"/>
  <c r="U484" i="4" s="1"/>
  <c r="U544" i="4" s="1"/>
  <c r="O454" i="4"/>
  <c r="O484" i="4" s="1"/>
  <c r="O544" i="4" s="1"/>
  <c r="T466" i="4"/>
  <c r="AG466" i="4"/>
  <c r="P454" i="4"/>
  <c r="P484" i="4" s="1"/>
  <c r="P544" i="4" s="1"/>
  <c r="F454" i="4"/>
  <c r="F484" i="4" s="1"/>
  <c r="F544" i="4" s="1"/>
  <c r="G466" i="4"/>
  <c r="AE466" i="4"/>
  <c r="E454" i="4"/>
  <c r="E484" i="4" s="1"/>
  <c r="E544" i="4" s="1"/>
  <c r="N466" i="4"/>
  <c r="C466" i="4"/>
  <c r="I454" i="4"/>
  <c r="I484" i="4" s="1"/>
  <c r="I544" i="4" s="1"/>
  <c r="Y454" i="4"/>
  <c r="Y484" i="4" s="1"/>
  <c r="Y544" i="4" s="1"/>
  <c r="O466" i="4"/>
  <c r="Q466" i="4"/>
  <c r="J454" i="4"/>
  <c r="J484" i="4" s="1"/>
  <c r="J544" i="4" s="1"/>
  <c r="T454" i="4"/>
  <c r="T484" i="4" s="1"/>
  <c r="T544" i="4" s="1"/>
  <c r="AC466" i="4"/>
  <c r="K466" i="4"/>
  <c r="AG454" i="4"/>
  <c r="AG484" i="4" s="1"/>
  <c r="AG544" i="4" s="1"/>
  <c r="Q454" i="4"/>
  <c r="Q484" i="4" s="1"/>
  <c r="Q544" i="4" s="1"/>
  <c r="AB454" i="4"/>
  <c r="AB484" i="4" s="1"/>
  <c r="AB544" i="4" s="1"/>
  <c r="F466" i="4"/>
  <c r="V466" i="4"/>
  <c r="H466" i="4"/>
  <c r="L454" i="4"/>
  <c r="L484" i="4" s="1"/>
  <c r="L544" i="4" s="1"/>
  <c r="P466" i="4"/>
  <c r="K454" i="4"/>
  <c r="K484" i="4" s="1"/>
  <c r="K544" i="4" s="1"/>
  <c r="V454" i="4"/>
  <c r="V484" i="4" s="1"/>
  <c r="V544" i="4" s="1"/>
  <c r="R454" i="4"/>
  <c r="R484" i="4" s="1"/>
  <c r="R544" i="4" s="1"/>
  <c r="G454" i="4"/>
  <c r="G484" i="4" s="1"/>
  <c r="G544" i="4" s="1"/>
  <c r="AD466" i="4"/>
  <c r="S466" i="4"/>
  <c r="X466" i="4"/>
  <c r="AF466" i="4"/>
  <c r="L466" i="4"/>
  <c r="C454" i="4"/>
  <c r="C484" i="4" s="1"/>
  <c r="C544" i="4" s="1"/>
  <c r="C545" i="4" s="1"/>
  <c r="R466" i="4"/>
  <c r="AB466" i="4"/>
  <c r="AA454" i="4"/>
  <c r="AA484" i="4" s="1"/>
  <c r="AA544" i="4" s="1"/>
  <c r="D454" i="4"/>
  <c r="D484" i="4" s="1"/>
  <c r="D544" i="4" s="1"/>
  <c r="Z466" i="4"/>
  <c r="X454" i="4"/>
  <c r="X484" i="4" s="1"/>
  <c r="X544" i="4" s="1"/>
  <c r="U466" i="4"/>
  <c r="AA466" i="4"/>
  <c r="E466" i="4"/>
  <c r="N454" i="4"/>
  <c r="N484" i="4" s="1"/>
  <c r="N544" i="4" s="1"/>
  <c r="M454" i="4"/>
  <c r="M484" i="4" s="1"/>
  <c r="M544" i="4" s="1"/>
  <c r="Q276" i="4" l="1"/>
  <c r="R276" i="4" s="1"/>
  <c r="S276" i="4" s="1"/>
  <c r="T276" i="4" s="1"/>
  <c r="U276" i="4" s="1"/>
  <c r="V276" i="4" s="1"/>
  <c r="AE496" i="4"/>
  <c r="AE467" i="4"/>
  <c r="S496" i="4"/>
  <c r="S467" i="4"/>
  <c r="W496" i="4"/>
  <c r="W467" i="4"/>
  <c r="AD496" i="4"/>
  <c r="AD467" i="4"/>
  <c r="Q496" i="4"/>
  <c r="Q467" i="4"/>
  <c r="M496" i="4"/>
  <c r="M467" i="4"/>
  <c r="R496" i="4"/>
  <c r="R467" i="4"/>
  <c r="V496" i="4"/>
  <c r="V467" i="4"/>
  <c r="E496" i="4"/>
  <c r="E467" i="4"/>
  <c r="G496" i="4"/>
  <c r="G467" i="4"/>
  <c r="AB496" i="4"/>
  <c r="AB467" i="4"/>
  <c r="AA496" i="4"/>
  <c r="AA467" i="4"/>
  <c r="AG496" i="4"/>
  <c r="AG467" i="4"/>
  <c r="Y496" i="4"/>
  <c r="Y467" i="4"/>
  <c r="H496" i="4"/>
  <c r="H467" i="4"/>
  <c r="I496" i="4"/>
  <c r="I467" i="4"/>
  <c r="U496" i="4"/>
  <c r="U467" i="4"/>
  <c r="L496" i="4"/>
  <c r="L467" i="4"/>
  <c r="T496" i="4"/>
  <c r="T467" i="4"/>
  <c r="Z496" i="4"/>
  <c r="Z467" i="4"/>
  <c r="F496" i="4"/>
  <c r="F467" i="4"/>
  <c r="O496" i="4"/>
  <c r="O467" i="4"/>
  <c r="AF496" i="4"/>
  <c r="AF467" i="4"/>
  <c r="P496" i="4"/>
  <c r="P467" i="4"/>
  <c r="K496" i="4"/>
  <c r="K467" i="4"/>
  <c r="C496" i="4"/>
  <c r="C556" i="4" s="1"/>
  <c r="C467" i="4"/>
  <c r="D496" i="4"/>
  <c r="D467" i="4"/>
  <c r="X496" i="4"/>
  <c r="X467" i="4"/>
  <c r="AC496" i="4"/>
  <c r="AC467" i="4"/>
  <c r="N496" i="4"/>
  <c r="N467" i="4"/>
  <c r="J496" i="4"/>
  <c r="J467" i="4"/>
  <c r="M455" i="4"/>
  <c r="T455" i="4"/>
  <c r="K455" i="4"/>
  <c r="AB455" i="4"/>
  <c r="J455" i="4"/>
  <c r="AC455" i="4"/>
  <c r="AA455" i="4"/>
  <c r="R455" i="4"/>
  <c r="Q455" i="4"/>
  <c r="E455" i="4"/>
  <c r="AF455" i="4"/>
  <c r="L455" i="4"/>
  <c r="O455" i="4"/>
  <c r="H455" i="4"/>
  <c r="AG455" i="4"/>
  <c r="D455" i="4"/>
  <c r="P455" i="4"/>
  <c r="N455" i="4"/>
  <c r="X455" i="4"/>
  <c r="G455" i="4"/>
  <c r="U455" i="4"/>
  <c r="AD455" i="4"/>
  <c r="C455" i="4"/>
  <c r="Y455" i="4"/>
  <c r="I455" i="4"/>
  <c r="F455" i="4"/>
  <c r="AE455" i="4"/>
  <c r="Z455" i="4"/>
  <c r="W455" i="4"/>
  <c r="V455" i="4"/>
  <c r="S455" i="4"/>
  <c r="F497" i="4" l="1"/>
  <c r="F556" i="4"/>
  <c r="M497" i="4"/>
  <c r="M556" i="4"/>
  <c r="R497" i="4"/>
  <c r="R556" i="4"/>
  <c r="AG497" i="4"/>
  <c r="AG556" i="4"/>
  <c r="K497" i="4"/>
  <c r="K556" i="4"/>
  <c r="L497" i="4"/>
  <c r="L556" i="4"/>
  <c r="AB497" i="4"/>
  <c r="AB556" i="4"/>
  <c r="AD497" i="4"/>
  <c r="AD556" i="4"/>
  <c r="Q497" i="4"/>
  <c r="Q556" i="4"/>
  <c r="Y497" i="4"/>
  <c r="Y556" i="4"/>
  <c r="J497" i="4"/>
  <c r="J556" i="4"/>
  <c r="P497" i="4"/>
  <c r="P556" i="4"/>
  <c r="U497" i="4"/>
  <c r="U556" i="4"/>
  <c r="G497" i="4"/>
  <c r="G556" i="4"/>
  <c r="W497" i="4"/>
  <c r="W556" i="4"/>
  <c r="Z497" i="4"/>
  <c r="Z556" i="4"/>
  <c r="T497" i="4"/>
  <c r="T556" i="4"/>
  <c r="N497" i="4"/>
  <c r="N556" i="4"/>
  <c r="AF497" i="4"/>
  <c r="AF556" i="4"/>
  <c r="I497" i="4"/>
  <c r="I556" i="4"/>
  <c r="E497" i="4"/>
  <c r="E556" i="4"/>
  <c r="S497" i="4"/>
  <c r="S556" i="4"/>
  <c r="D497" i="4"/>
  <c r="D556" i="4"/>
  <c r="AC497" i="4"/>
  <c r="AC556" i="4"/>
  <c r="O497" i="4"/>
  <c r="O556" i="4"/>
  <c r="H497" i="4"/>
  <c r="H556" i="4"/>
  <c r="V497" i="4"/>
  <c r="V556" i="4"/>
  <c r="AE497" i="4"/>
  <c r="AE556" i="4"/>
  <c r="X497" i="4"/>
  <c r="X556" i="4"/>
  <c r="AA497" i="4"/>
  <c r="AA556" i="4"/>
  <c r="W276" i="4"/>
  <c r="X276" i="4" s="1"/>
  <c r="C497" i="4"/>
  <c r="AE485" i="4"/>
  <c r="AB485" i="4"/>
  <c r="AG485" i="4"/>
  <c r="Q485" i="4"/>
  <c r="J485" i="4"/>
  <c r="X485" i="4"/>
  <c r="AC485" i="4"/>
  <c r="U485" i="4"/>
  <c r="AF485" i="4"/>
  <c r="W485" i="4"/>
  <c r="AA485" i="4"/>
  <c r="I485" i="4"/>
  <c r="L485" i="4"/>
  <c r="O485" i="4"/>
  <c r="P485" i="4"/>
  <c r="N485" i="4"/>
  <c r="Z485" i="4"/>
  <c r="AD485" i="4"/>
  <c r="D485" i="4"/>
  <c r="T485" i="4"/>
  <c r="K485" i="4"/>
  <c r="F485" i="4"/>
  <c r="G485" i="4"/>
  <c r="H485" i="4"/>
  <c r="S485" i="4"/>
  <c r="C485" i="4"/>
  <c r="Y485" i="4"/>
  <c r="R485" i="4"/>
  <c r="V485" i="4"/>
  <c r="E485" i="4"/>
  <c r="M485" i="4"/>
  <c r="Y276" i="4" l="1"/>
  <c r="Z276" i="4" l="1"/>
  <c r="W545" i="4"/>
  <c r="V545" i="4"/>
  <c r="O545" i="4"/>
  <c r="R545" i="4"/>
  <c r="K545" i="4"/>
  <c r="AA545" i="4"/>
  <c r="Q545" i="4"/>
  <c r="M545" i="4"/>
  <c r="P545" i="4"/>
  <c r="AB545" i="4"/>
  <c r="J545" i="4"/>
  <c r="H545" i="4"/>
  <c r="AD545" i="4"/>
  <c r="AF545" i="4"/>
  <c r="E545" i="4"/>
  <c r="Y545" i="4"/>
  <c r="L545" i="4"/>
  <c r="N545" i="4"/>
  <c r="G545" i="4"/>
  <c r="T545" i="4"/>
  <c r="Z545" i="4"/>
  <c r="AE545" i="4"/>
  <c r="F545" i="4"/>
  <c r="U545" i="4"/>
  <c r="D545" i="4"/>
  <c r="X545" i="4"/>
  <c r="AC545" i="4"/>
  <c r="S545" i="4"/>
  <c r="AG545" i="4"/>
  <c r="I545" i="4"/>
  <c r="AA276" i="4" l="1"/>
  <c r="AB276" i="4" s="1"/>
  <c r="AC276" i="4" s="1"/>
  <c r="R557" i="4"/>
  <c r="J557" i="4"/>
  <c r="F557" i="4"/>
  <c r="AG557" i="4"/>
  <c r="Y557" i="4"/>
  <c r="N557" i="4"/>
  <c r="AB557" i="4"/>
  <c r="W557" i="4"/>
  <c r="P557" i="4"/>
  <c r="G557" i="4"/>
  <c r="M557" i="4"/>
  <c r="K557" i="4"/>
  <c r="O557" i="4"/>
  <c r="AC557" i="4"/>
  <c r="S557" i="4"/>
  <c r="D557" i="4"/>
  <c r="AF557" i="4"/>
  <c r="AD557" i="4"/>
  <c r="AA557" i="4"/>
  <c r="T557" i="4"/>
  <c r="X557" i="4"/>
  <c r="Z557" i="4"/>
  <c r="Q557" i="4"/>
  <c r="AE557" i="4"/>
  <c r="H557" i="4"/>
  <c r="L557" i="4"/>
  <c r="E557" i="4"/>
  <c r="C557" i="4"/>
  <c r="V557" i="4"/>
  <c r="I557" i="4"/>
  <c r="U557" i="4"/>
  <c r="AD276" i="4" l="1"/>
  <c r="AE276" i="4" s="1"/>
  <c r="AF276" i="4" s="1"/>
  <c r="AG276" i="4" s="1"/>
  <c r="AG287" i="4"/>
  <c r="AF287" i="4"/>
  <c r="AD287" i="4"/>
  <c r="AC287" i="4"/>
  <c r="AB287" i="4"/>
  <c r="X287" i="4"/>
  <c r="AA287" i="4"/>
  <c r="W287" i="4"/>
  <c r="Y287" i="4"/>
  <c r="V287" i="4"/>
  <c r="U287" i="4"/>
  <c r="R287" i="4"/>
  <c r="Q287" i="4"/>
  <c r="T287" i="4"/>
  <c r="P287" i="4"/>
  <c r="O287" i="4"/>
  <c r="J287" i="4"/>
  <c r="M287" i="4"/>
  <c r="N287" i="4"/>
  <c r="I287" i="4"/>
  <c r="G287" i="4"/>
  <c r="H287" i="4"/>
  <c r="K287" i="4"/>
  <c r="F287" i="4"/>
  <c r="D287" i="4"/>
  <c r="D288" i="4" s="1"/>
  <c r="E287" i="4"/>
  <c r="L287" i="4"/>
  <c r="S287" i="4"/>
  <c r="Z287" i="4"/>
  <c r="C287" i="4"/>
  <c r="C288" i="4" s="1"/>
  <c r="E288" i="4" l="1"/>
  <c r="F288" i="4" s="1"/>
  <c r="G288" i="4" l="1"/>
  <c r="H288" i="4" l="1"/>
  <c r="I288" i="4" l="1"/>
  <c r="J288" i="4" l="1"/>
  <c r="K288" i="4" l="1"/>
  <c r="L288" i="4" l="1"/>
  <c r="M288" i="4" s="1"/>
  <c r="N288" i="4" s="1"/>
  <c r="O288" i="4" l="1"/>
  <c r="P288" i="4" s="1"/>
  <c r="Q288" i="4" s="1"/>
  <c r="R288" i="4" l="1"/>
  <c r="S288" i="4" l="1"/>
  <c r="T288" i="4" s="1"/>
  <c r="U288" i="4" s="1"/>
  <c r="V288" i="4" l="1"/>
  <c r="W288" i="4" s="1"/>
  <c r="X288" i="4" s="1"/>
  <c r="Y288" i="4" l="1"/>
  <c r="Z288" i="4" l="1"/>
  <c r="AA288" i="4" s="1"/>
  <c r="AB288" i="4" l="1"/>
  <c r="AC288" i="4" l="1"/>
  <c r="AD288" i="4" s="1"/>
  <c r="AG288" i="4" s="1"/>
</calcChain>
</file>

<file path=xl/sharedStrings.xml><?xml version="1.0" encoding="utf-8"?>
<sst xmlns="http://schemas.openxmlformats.org/spreadsheetml/2006/main" count="5660" uniqueCount="334">
  <si>
    <t>รายการ</t>
  </si>
  <si>
    <t>(ความถี่)</t>
  </si>
  <si>
    <t>เดือน</t>
  </si>
  <si>
    <t>วันที่</t>
  </si>
  <si>
    <t>น้ำยาฆ่าเชื้อ</t>
  </si>
  <si>
    <t>แผน</t>
  </si>
  <si>
    <t>ผู้ปฏิบัติ</t>
  </si>
  <si>
    <t>ก.พ.</t>
  </si>
  <si>
    <t>มี.ค.</t>
  </si>
  <si>
    <t>เม.ย.</t>
  </si>
  <si>
    <t>พ.ค.</t>
  </si>
  <si>
    <t>มิ.ย.</t>
  </si>
  <si>
    <t>-</t>
  </si>
  <si>
    <t>ก.ค.</t>
  </si>
  <si>
    <t>ส.ค.</t>
  </si>
  <si>
    <t>ก.ย.</t>
  </si>
  <si>
    <t>ต.ค.</t>
  </si>
  <si>
    <t>พ.ย.</t>
  </si>
  <si>
    <t>ธ.ค.</t>
  </si>
  <si>
    <t>ห้องพิมพ์-ตัดสาย</t>
  </si>
  <si>
    <t>ปี</t>
  </si>
  <si>
    <t>ประเสริฐพงษ์</t>
  </si>
  <si>
    <t xml:space="preserve">ชื่อเครื่องมือ    </t>
  </si>
  <si>
    <t xml:space="preserve">เครื่องพิมพ์-ตัดสายอัตโนมัติ 268.	1 </t>
  </si>
  <si>
    <t>รหัส</t>
  </si>
  <si>
    <t>สถานที่</t>
  </si>
  <si>
    <t>แผน/บันทึกการบำรุงรักษาเครื่องมือและห้องสะอาด (สัปดาห์/เดือน/ปี)</t>
  </si>
  <si>
    <t>SUP 44-6515-127-1</t>
  </si>
  <si>
    <t xml:space="preserve">จัดทำโดย   </t>
  </si>
  <si>
    <t xml:space="preserve">วันที่ </t>
  </si>
  <si>
    <t xml:space="preserve">อนุมัติโดย   </t>
  </si>
  <si>
    <t>เปลี่ยนแบตเตอรี่  (1 ปี)</t>
  </si>
  <si>
    <t>ม.ค.</t>
  </si>
  <si>
    <t>เช็ดทำความสะอาดเครื่องด้วย Alcohol 95 % (วันที่ใช้งาน)</t>
  </si>
  <si>
    <t>SUP 44-6515-127-2</t>
  </si>
  <si>
    <t>ผู้รับผิดชอบ</t>
  </si>
  <si>
    <t>เครื่องพิมพ์-ตัดสายอัตโนมัติ 268.	2</t>
  </si>
  <si>
    <t>พีรวัส</t>
  </si>
  <si>
    <t>วรพงศ์</t>
  </si>
  <si>
    <t>ห้องบรรจุน้ำยา</t>
  </si>
  <si>
    <t>เครื่องบรรจุน้ำยา Plumatex 2</t>
  </si>
  <si>
    <t>ห้องผสมน้ำยา ชั้น 5</t>
  </si>
  <si>
    <t>เจ้าหน้าที่ใช้งาน</t>
  </si>
  <si>
    <t>เครื่อง Overwrap (Henkovac)</t>
  </si>
  <si>
    <t>SUP 53-3540-009-1</t>
  </si>
  <si>
    <t>เช็คทำความสะอาดด้วย alcohol 95% (วันที่ใช้งาน)</t>
  </si>
  <si>
    <t>เครื่องนึ่งฆ่าเชื้อ G4</t>
  </si>
  <si>
    <t>SUP 40-6530-003</t>
  </si>
  <si>
    <t>ห้องนึ่งฆ่าเชื้อ ชั้น 5</t>
  </si>
  <si>
    <t>ตรวจสอบแรงดันระบบลม (6-8 bar) / ตรวจสอบแรงดันระบบไอน้ำ (2.5-3.0 bar) (วันที่ใช้งาน)</t>
  </si>
  <si>
    <t>ตรวจสอบยางขอบประตู, การเปิดปิดประตู, ทำความสะอาดห้องนึ่ง, ชั้นวาง (วันที่ใช้งาน)</t>
  </si>
  <si>
    <t>บำรุงรักษาโดยบริษัท Getinge (3 เดือน)</t>
  </si>
  <si>
    <t>เครื่องนึ่งฆ่าเชื้อ G5</t>
  </si>
  <si>
    <t>SUP 45-6530-003</t>
  </si>
  <si>
    <t>เครื่องนึ่งฆ่าเชื้อ G6</t>
  </si>
  <si>
    <t>0725646530003010001</t>
  </si>
  <si>
    <t>ห้องนึ่งฆ่าเชื้อ ชั้น 6</t>
  </si>
  <si>
    <t>ห้องเครื่องปั๊มลม</t>
  </si>
  <si>
    <t>17-23</t>
  </si>
  <si>
    <t>10-16</t>
  </si>
  <si>
    <t>O</t>
  </si>
  <si>
    <t>เครื่อง Pasteurizer No. 1</t>
  </si>
  <si>
    <t>SUP 40-3510-012</t>
  </si>
  <si>
    <t>ทำความสะอาดรถเรียงและภายในตู้ (1 สัปดาห์)</t>
  </si>
  <si>
    <t>เครื่อง Pasteurizer No. 2</t>
  </si>
  <si>
    <t>SUP 45-6515-136-1</t>
  </si>
  <si>
    <t>เครื่องล้างเครื่องแก้ว Tuttanauer</t>
  </si>
  <si>
    <t>SUP 54-6515-029-1</t>
  </si>
  <si>
    <t>บริเวณล้างขวด</t>
  </si>
  <si>
    <t>ทำความสะอาดท่อ spray น้ำ (2 สัปดาห์)</t>
  </si>
  <si>
    <t>เปิด drain น้ำทิ้ง (วันที่ใช้งาน)</t>
  </si>
  <si>
    <t>ห้องล้างหลอด ชั้น 6</t>
  </si>
  <si>
    <t>เช็ดทำความสะอาดเครื่องด้วย 70% Alcohol (วันที่ใช้งาน)</t>
  </si>
  <si>
    <t>ห้องซักชุดสะอาด</t>
  </si>
  <si>
    <t>เครื่องพิมพ์ฉลาก Honeywell No. 1</t>
  </si>
  <si>
    <t>0725627490008010001</t>
  </si>
  <si>
    <t>ห้องพิมพ์ฉลาก</t>
  </si>
  <si>
    <t>ปัญจมา, ปุณยนุช</t>
  </si>
  <si>
    <t>ใช้สำลีชุบ alcohol เช็ด print head, roller label drive (1 สัปดาห์)</t>
  </si>
  <si>
    <t>ตรวจสอบความสมบูรณ์ของหัวพิมพ์  (1 เดือน)</t>
  </si>
  <si>
    <t>เครื่องพิมพ์ฉลาก Honeywell No. 2</t>
  </si>
  <si>
    <t>0725627490008010002</t>
  </si>
  <si>
    <t xml:space="preserve">เครื่องตรวจสอบ Integrity test </t>
  </si>
  <si>
    <t>ห้องผสมน้ำยา</t>
  </si>
  <si>
    <t>หน้าทางเข้าห้องสะอาด</t>
  </si>
  <si>
    <t>เครื่องกำจัดแมลง 2 (ฝั่งห้องพักเจ้าหน้าที่)</t>
  </si>
  <si>
    <t>ห้อง Cleanroom</t>
  </si>
  <si>
    <t>BR 1 – BR 51</t>
  </si>
  <si>
    <t>ห้องสะอาด</t>
  </si>
  <si>
    <t>บำรุงรักษาโดย บจ.Global tech (3 เดือน)</t>
  </si>
  <si>
    <t>Global tech, ประเสริฐพงษ์</t>
  </si>
  <si>
    <t>Air dryer Fiter in line ขนาด 0.01,1 mircorn  (1 ปี)</t>
  </si>
  <si>
    <t>ทำความสะอาด/เป่าลม พัดลม และ strainer condenser (1 เดือน)</t>
  </si>
  <si>
    <t>ราย</t>
  </si>
  <si>
    <t xml:space="preserve">รายการบำรุงรักษา </t>
  </si>
  <si>
    <t>Cleanroom</t>
  </si>
  <si>
    <t xml:space="preserve">- ทำความสะอาดด้านบนเพดานคลีนรูมและ cat walk  </t>
  </si>
  <si>
    <t>- บำรุงรักษา AHU และตู้ควบคุมไฟฟ้าโดยบริษัท</t>
  </si>
  <si>
    <t>- บำรุงรักษา air shower, pass box โดยบริษัท</t>
  </si>
  <si>
    <t>- เปลี่ยน prefilter</t>
  </si>
  <si>
    <t xml:space="preserve">- เปลี่ยนลูกปืนมอเตอร์ </t>
  </si>
  <si>
    <t>ความถี่</t>
  </si>
  <si>
    <t>หน่วย</t>
  </si>
  <si>
    <t>ห้องกลั่นน้ำชั้น 6</t>
  </si>
  <si>
    <t>เปิดวาล์ว drain น้ำจากหอกลั่นน้ำทุกคอลัมน์เมื่อเลิกงาน (วันที่ใช้งาน)</t>
  </si>
  <si>
    <t>บำรุงรักษาโดยบริษัทเจ้าของเครื่อง  (3 เดือน)</t>
  </si>
  <si>
    <t>เครื่อง Thermoforming machine</t>
  </si>
  <si>
    <t>0725606530021150002</t>
  </si>
  <si>
    <t>ห้องแพคกิ้ง</t>
  </si>
  <si>
    <t>Welding machine no.3 (Vinita)</t>
  </si>
  <si>
    <t>0725616530021150001</t>
  </si>
  <si>
    <t>ห้อง Welding</t>
  </si>
  <si>
    <t>อัดจาระบีที่กระบอกด้านหลัง welding station 2 ปั๊ม (3 เดือน)</t>
  </si>
  <si>
    <t>บ.Goodtime
, ประเสริฐพงษ์</t>
  </si>
  <si>
    <t>ดูดฝุ่นแผ่นกรองอากาศตู้ Oscillator/กำจัดฝุ่นในถัง dust collector (6 เดือน)</t>
  </si>
  <si>
    <t>เช็ดทำความสะอาดเครื่องด้วย Alcohol 95% (วันที่ใช้งาน)</t>
  </si>
  <si>
    <t>ทำความสะอาดรางหม้อเขย่าพอร์ต (1 สัปดาห์)</t>
  </si>
  <si>
    <t>เครื่องนึ่งฆ่าเชื้อ T1</t>
  </si>
  <si>
    <t>SUP 54-6515-021-1</t>
  </si>
  <si>
    <t xml:space="preserve">ทำความสะอาด chamber และชั้นวาง (วันที่ใช้งาน) </t>
  </si>
  <si>
    <t>ตรวจสอบยางขอบประตู, การขึ้นลงของประตู (วันที่ใช้งาน)</t>
  </si>
  <si>
    <t>ถ่ายน้ำใน Steam generator และ water level (1 สัปดาห์)</t>
  </si>
  <si>
    <t>ล้างสเตนเนอร์ที่ก้น chamber และกล่องน้ำเข้า  (1 สัปดาห์)</t>
  </si>
  <si>
    <t>หัวข้อการบำรุงรักษาโดยบริษัททุก 3 เดือน</t>
  </si>
  <si>
    <t>1.ตรวจเช็คอุปกรณ์ safety valve</t>
  </si>
  <si>
    <t>2.ทำความสะอาดตัวกรอง ท่อทางเดินไอน้ำ (Strainer)</t>
  </si>
  <si>
    <t>3.ตรวจเช็คและถอดล้าง Stream trap ทุกตัว</t>
  </si>
  <si>
    <t>4.ตรวจเช็ครอยรั่วตามข้อต่อต่างๆ</t>
  </si>
  <si>
    <t>5.ตรวจเช็คทำความสะอาดยางขอบประตูและข้อต่อของระบบเปิดปิดประตู</t>
  </si>
  <si>
    <t>6.ตรวจเช็คและทำความสะอาดหม้อต้มผลิตไอน้ำ</t>
  </si>
  <si>
    <t>7.ตรวจสอบการทำงานของ vacuum pump และระดับการ vacuum</t>
  </si>
  <si>
    <t>8.ตรวจเช็คระบบควบคุมทุกตัว, ย้ำสายไฟตามจุดต่อสายต่างๆ</t>
  </si>
  <si>
    <t>9.ตรวจเช็คการทำงานของระบบ Pneumatic valve และระดับน้ำมัน Hydraulic</t>
  </si>
  <si>
    <t xml:space="preserve">10.ตรวจสอบแรงดันและอุณหภูมิของโปรแกรมที่ทำงานจริง </t>
  </si>
  <si>
    <t>หัวข้อการบำรุงรักษาโดยบริษัททุก 1 ปี</t>
  </si>
  <si>
    <t xml:space="preserve">11.เปลี่ยน Sterile air filter </t>
  </si>
  <si>
    <t>0725614310004010001</t>
  </si>
  <si>
    <t>เจ้าหน้าที่ผู้ใช้งาน</t>
  </si>
  <si>
    <t xml:space="preserve">ระบบผลิตน้ำฝ่ายผลิตถุงบรรจุโลหิตฯ </t>
  </si>
  <si>
    <t>อาคารเฉลิมฯชั้น 10</t>
  </si>
  <si>
    <t>บ.พินิจอินเตอร์เทรด</t>
  </si>
  <si>
    <t>PM ระบบน้ำอ่อน, RO, DI และ cooling ของเครื่องกลั่นน้ำ (3 เดือน)</t>
  </si>
  <si>
    <t xml:space="preserve">ระบบผลิตน้ำ RO เครื่องนึ่งฆ่าเชื้อ </t>
  </si>
  <si>
    <t>บ. Getinge</t>
  </si>
  <si>
    <t>เปลี่ยนไส้กรอง Prefilter (3 เดือน)</t>
  </si>
  <si>
    <t>เปลี่ยนไส้กรอง RO (1 ปี)</t>
  </si>
  <si>
    <t>เครื่องผลิตอากาศอัด</t>
  </si>
  <si>
    <t>ห้องปั๊มลม ชั้น 6</t>
  </si>
  <si>
    <t>บ. U Social Autom.</t>
  </si>
  <si>
    <t>- เปลี่ยนไส้กรอง Air inlet filter และ filter inline</t>
  </si>
  <si>
    <t>1 ปี</t>
  </si>
  <si>
    <t>- เปลี่ยนสายพาน V belt และเช็ควาล์ว</t>
  </si>
  <si>
    <t>2 ปี</t>
  </si>
  <si>
    <t>- ทำความสะอาดพัดลม ท่อพัดลม และแผงระบายความร้อน</t>
  </si>
  <si>
    <t>- หล่อลื่นแบริ่งสโครลตัวล่างที่เคลื่อนที่</t>
  </si>
  <si>
    <t>- เปลี่ยนท่อขาออกและพลาสติกภายในท่อ</t>
  </si>
  <si>
    <t>4 ปี</t>
  </si>
  <si>
    <t>- หล่อลื่นแบริ่งขาข้อเหวี่ยง (pin crank)</t>
  </si>
  <si>
    <t>- เปลี่ยนซีลตางๆ Tip seals dust seal และ inlet seal</t>
  </si>
  <si>
    <t>เครื่องซีลถุงพลาสติกแบบสายพานต่อเนื่อง</t>
  </si>
  <si>
    <t>0725623540009040001</t>
  </si>
  <si>
    <t>ห้องบรรจุลงกล่อง</t>
  </si>
  <si>
    <t>เครื่องซักผ้า 1 ฝาบน LG ฝ่ายผลิตถุง</t>
  </si>
  <si>
    <t>0725653510003020001</t>
  </si>
  <si>
    <t>1-9</t>
  </si>
  <si>
    <t>24-30</t>
  </si>
  <si>
    <t>1-7</t>
  </si>
  <si>
    <t>8-14</t>
  </si>
  <si>
    <t>15-21</t>
  </si>
  <si>
    <t>22-28</t>
  </si>
  <si>
    <t>12-18</t>
  </si>
  <si>
    <t>19-25</t>
  </si>
  <si>
    <t>เครื่องบรรจุน้ำยา Plumatex 3</t>
  </si>
  <si>
    <t>น้ำยาฆ่าเชื้อ (1) Chlorhex-C  (2) Benz Cl</t>
  </si>
  <si>
    <t>7-13</t>
  </si>
  <si>
    <t>5-11</t>
  </si>
  <si>
    <t>26-31</t>
  </si>
  <si>
    <t>1-8</t>
  </si>
  <si>
    <t>9-15</t>
  </si>
  <si>
    <t>16-22</t>
  </si>
  <si>
    <t>14-20</t>
  </si>
  <si>
    <t>21-27</t>
  </si>
  <si>
    <t>11-17</t>
  </si>
  <si>
    <t>18-24</t>
  </si>
  <si>
    <t>เครื่องผลิตไอน้ำบริสุทธิ์</t>
  </si>
  <si>
    <t>0725656515050070003</t>
  </si>
  <si>
    <t>น้ำยาฆ่าเชื้อ (1) Chlorhex - C   (2) Benz Cl</t>
  </si>
  <si>
    <t>น้ำยา</t>
  </si>
  <si>
    <t>เครื่อง</t>
  </si>
  <si>
    <t>แผน D</t>
  </si>
  <si>
    <t>แผน M</t>
  </si>
  <si>
    <t>แผน DnD</t>
  </si>
  <si>
    <t>ล้างทำความสะอาดชุดแม่พิมพ์ตัวเลข (1 ปี)</t>
  </si>
  <si>
    <t>หยอดน้ำมันจารบี (1 สัปดาห์)</t>
  </si>
  <si>
    <t>หยอดน้ำมัน WD40  (3 วัน)</t>
  </si>
  <si>
    <t>บจ.ไอยรา</t>
  </si>
  <si>
    <t xml:space="preserve">เครื่องผลิตอากาศอัต (Pump1 &amp; 2 &amp; 3 ) </t>
  </si>
  <si>
    <t>0725634310001030001-3</t>
  </si>
  <si>
    <t>บำรุงรักษาโดย บจ. (2 เดือน)</t>
  </si>
  <si>
    <t>เปลี่ยนAir/Oil fitler, Separator (Pump1 4000 hr , pump 2-3 2000 hr)</t>
  </si>
  <si>
    <t>Air dryer Fiter in line ขนาด 0.01,1 mircorn และ Carbon (1 ปี)</t>
  </si>
  <si>
    <t>บุญเพียร</t>
  </si>
  <si>
    <t>ปุณยนุช</t>
  </si>
  <si>
    <t>Global tech, เจ้าหน้าที่ฝ่าย</t>
  </si>
  <si>
    <t>ประเวศ</t>
  </si>
  <si>
    <t>บ.Goodtime</t>
  </si>
  <si>
    <t>12.22 เปลี่ยนแถบซีล ขนาด 13 mm. แนวขวาง 3 เส้น</t>
  </si>
  <si>
    <t>6-12</t>
  </si>
  <si>
    <t>ตรวจสอบ/เปลี่ยนสายพานฟันปลา (6 เดือน)</t>
  </si>
  <si>
    <t>ตรวจสอบ/เปลี่ยนสายพานซีล (6 เดือน)</t>
  </si>
  <si>
    <t>แผน/บันทึกการบำรุงรักษาเครื่องมือและห้องสะอาด (วัน)</t>
  </si>
  <si>
    <t>ประเสริฐพงศ์</t>
  </si>
  <si>
    <t>เช็ดทำความสะอาดด้วย alcohol 70% ชนิดกรอง , ทำ CIP ด้วย WFI, Drain น้ำ (วันที่ใช้งาน)</t>
  </si>
  <si>
    <t>เครื่องซักผ้าฝาบน SHARP  (ชั้น 6)</t>
  </si>
  <si>
    <t>การทำความสะอาดฟิลเตอร์กรองเศษผ้า (1 สัปดาห์)</t>
  </si>
  <si>
    <t>ทำความสะอาดตัวกรองท่อจ่ายน้ำและทางเข้าน้ำ (6 เดือน)</t>
  </si>
  <si>
    <t>0725656515047250001</t>
  </si>
  <si>
    <t>0725636515047250001</t>
  </si>
  <si>
    <t>ปั๊มสูญญากาศ (Vacuum Pump)</t>
  </si>
  <si>
    <t xml:space="preserve">หมายเหตุ  วงกลม (O) หมายถึง สัปดาห์ที่ต้องทำการบำรุงรักษาเครื่องมือหรือห้องสะอาด เมื่อดำเนินการตามแผนแล้ว ให้ทำเครื่องหมายถูก (/) ในวงกลมที่ระบุ       </t>
  </si>
  <si>
    <t>เครือวัลย์ เปรมฤดี</t>
  </si>
  <si>
    <t xml:space="preserve"> อนุมัติโดย</t>
  </si>
  <si>
    <t>0725673510012010001</t>
  </si>
  <si>
    <t>เครื่องอบผ้าอัตโนมัติ บริจาค ผลิตถุง</t>
  </si>
  <si>
    <t>หัองซักชุดสะอาด</t>
  </si>
  <si>
    <t>ดูดฝุ่นทำความสะอาดตะแกรงช่องอากาศเข้า / ทำความสะอาด Condenser และถังซัก (2 เดือน)</t>
  </si>
  <si>
    <t>ฆ่าเชื้อด้วย SIP ( 1 สัปดาห์)</t>
  </si>
  <si>
    <t>ชาดินีย์</t>
  </si>
  <si>
    <t>25-31</t>
  </si>
  <si>
    <t>13-19</t>
  </si>
  <si>
    <t>20-26</t>
  </si>
  <si>
    <t>27-31</t>
  </si>
  <si>
    <t xml:space="preserve">เครื่องผลิตอากาศอัต </t>
  </si>
  <si>
    <t>เครื่องอบผ้า 10.5 kg</t>
  </si>
  <si>
    <t>เปลี่ยนสายลมและข้อต่อ (1 ปี)</t>
  </si>
  <si>
    <t>ถ่ายน้ำในระบบลม/ ถอดทำความสะอาดหัวดูดฝุ่นและรางส่งหม้อเขย่าพอร์ต (1 เดือน)</t>
  </si>
  <si>
    <t>Preventive maintenance by Thai Vinyter (3 เดือน)</t>
  </si>
  <si>
    <t xml:space="preserve">เช็ดทำความสะอาดด้วย Alcohol 70% , ปิดรูเปิดด้วยอะลูมิเนียมฟอยล์ (1 สัปดาห์) </t>
  </si>
  <si>
    <t>05.11.22 เปลี่ยนแถบซีล ขนาด 15 mm. แนวยาว 2 เส้น</t>
  </si>
  <si>
    <t>26O</t>
  </si>
  <si>
    <t>บำรุงรักษาโดย Technician  (2 เดือน)</t>
  </si>
  <si>
    <t>หยอดน้ำมัน WD40 และจาระบี (1 เดือน)</t>
  </si>
  <si>
    <t xml:space="preserve">ชาดินีย์ </t>
  </si>
  <si>
    <t>1-5</t>
  </si>
  <si>
    <t>24-28</t>
  </si>
  <si>
    <t>1-6</t>
  </si>
  <si>
    <t>28-30</t>
  </si>
  <si>
    <t>23-30</t>
  </si>
  <si>
    <t>1-4</t>
  </si>
  <si>
    <t>28-31</t>
  </si>
  <si>
    <t>1-10</t>
  </si>
  <si>
    <t>22-30</t>
  </si>
  <si>
    <t>29-31</t>
  </si>
  <si>
    <t>24-31</t>
  </si>
  <si>
    <t>เครื่อง Overwrap (Swentech)</t>
  </si>
  <si>
    <t>0725686530021040001</t>
  </si>
  <si>
    <t xml:space="preserve">ห้อง Pasteurization </t>
  </si>
  <si>
    <t>ห้อง Pasteurization</t>
  </si>
  <si>
    <t xml:space="preserve">เครื่องซักผ้าฝาบน SHARP </t>
  </si>
  <si>
    <t>0725663510003020001</t>
  </si>
  <si>
    <t>SUP 50-3510-012-1</t>
  </si>
  <si>
    <t>SPD BIOTECH</t>
  </si>
  <si>
    <t>ทำความสะอาดภายนอกเครื่องด้วยแอลกอฮอล์ (1 สัปดาห์)</t>
  </si>
  <si>
    <t>0725673650005160001</t>
  </si>
  <si>
    <t>เปลี่ยนถ่ายน้ำ vacuum ปั๊ม (1 เดือน)</t>
  </si>
  <si>
    <t>ถอดล้างสิ่งสกปรกภายในปั๊ม (1 เดือน วันเสาร์)</t>
  </si>
  <si>
    <t>Air dryer Fiter in line (1 ปี): carbon, 1 micron, 0.01 mircorn เมื่อ..../....../.....</t>
  </si>
  <si>
    <t>เครื่องกลั่นน้ำ</t>
  </si>
  <si>
    <t>Change Date of vent filter: 30/4/2025 Due Date: 30/4/2027</t>
  </si>
  <si>
    <t>เครื่องกลั่นน้ำ Stilmas</t>
  </si>
  <si>
    <t>23-28</t>
  </si>
  <si>
    <t>23-31</t>
  </si>
  <si>
    <t>27-30</t>
  </si>
  <si>
    <t>1-3</t>
  </si>
  <si>
    <t>4-10</t>
  </si>
  <si>
    <t>21-30</t>
  </si>
  <si>
    <t>0725686515050030001</t>
  </si>
  <si>
    <t>26-30</t>
  </si>
  <si>
    <t>1-</t>
  </si>
  <si>
    <t>สอบเทียบอุปกรณ์ (1 ปี)</t>
  </si>
  <si>
    <t>บำรุงรักษา (6 เดือน)</t>
  </si>
  <si>
    <t>Stilmas, UiPS, SP Metrology</t>
  </si>
  <si>
    <t>UiPS, SP Metrology</t>
  </si>
  <si>
    <t>สลับ Air Compressor / Air dryer</t>
  </si>
  <si>
    <t>ธนวัฒน์, พรสวรรค์, ช่าง บจ.</t>
  </si>
  <si>
    <t>ธนวัฒน์ ทศพร อนุภัทร</t>
  </si>
  <si>
    <t>ธนวัฒน์ พรสวรรค์</t>
  </si>
  <si>
    <t>เครื่อง TOC Analyzer</t>
  </si>
  <si>
    <t>บำรุงรักษา, System suitability (6 เดือน)</t>
  </si>
  <si>
    <t>สอบเทียบ (1 ปี)</t>
  </si>
  <si>
    <t>ทำความสะอาดตัวกรองท่อน้ำเข้า และ ปั๊มระบาย (6 เดือน)</t>
  </si>
  <si>
    <t>Tub clean (1 ปี)</t>
  </si>
  <si>
    <t>ทัศนีย์, ประเสริฐพงษ์</t>
  </si>
  <si>
    <t>ทำความสะอาดตัว condenser  (2 เดือน)</t>
  </si>
  <si>
    <t>เทน้ำในช่องเก็บน้ำ และทำความสะอาดตัวกรองใยผ้า (วันที่ใช้งาน)</t>
  </si>
  <si>
    <t>ทำความสะอาดตัวกรองใยผ้า (วันที่ใช้งาน)</t>
  </si>
  <si>
    <t>เทน้ำในช่องเก็บน้ำ, ระบายน้ำคงค้างใต้ฐาน Cool Air (วันที่ใช้งาน)</t>
  </si>
  <si>
    <t>ทัศนีย์ ประเสริฐพงษ์</t>
  </si>
  <si>
    <t>เครื่องกำจัดแมลง 1 &amp; 2 &amp; 3</t>
  </si>
  <si>
    <t>ทำความสะอาดถาดรองแมลง 1 (ฝั่งห้องแพคกิ้ง)  (1 เดือน)</t>
  </si>
  <si>
    <t>ทำความสะอาดถาดรองแมลง 2 (ฝั่งห้องพักเจ้าหน้าที่)  (1 เดือน)</t>
  </si>
  <si>
    <t>ทำความสะอาด/เปลี่ยนถาดรองแมลง 3 (ชั้น 6)  (1 เดือน)</t>
  </si>
  <si>
    <t>หน้าทางเข้าห้องสะอาด / ชั้น 6</t>
  </si>
  <si>
    <t>เปลี่ยนหลอดไฟเครื่องกำจัดแมลง 1 (ฝั่งห้องแพคกิ้ง)  (1 ปี)</t>
  </si>
  <si>
    <t>เปลี่ยนหลอดไฟเครื่องกำจัดแมลง 2 (ฝั่งห้องพักเจ้าหน้าที่)  (1 ปี)</t>
  </si>
  <si>
    <t>เปลี่ยนหลอดไฟเครื่องกำจัดแมลง 3 (ชั้น 6)  (1 ปี)</t>
  </si>
  <si>
    <t>13O</t>
  </si>
  <si>
    <t xml:space="preserve">เครื่องกำจัดแมลง 1 (ฝั่งห้องแพคกิ้ง) </t>
  </si>
  <si>
    <t>ชั้น 6</t>
  </si>
  <si>
    <t>เครื่องกำจัดแมลง 3</t>
  </si>
  <si>
    <t xml:space="preserve">หน้าทางเข้าห้องสะอาด </t>
  </si>
  <si>
    <t>วิษณุกร อดิศักดิ์ นันทกร ทศพร ศ.</t>
  </si>
  <si>
    <t>ตรวจสอบและเป่าลมทำความสะอาด magnetic contactor (3 เดือน)</t>
  </si>
  <si>
    <t>สายยาง ชุดกรอง วาล์วน้ำ</t>
  </si>
  <si>
    <t>เปลี่ยนแบตเตอรี่  (1 ปี) ครั้งล่าสุด 1/7/2568 ใช้แบต Mitsubishi 3.6V และตอนเปลี่ยนแบตให้เปิดเครื่องไว้</t>
  </si>
  <si>
    <t>เปลี่ยนแบตเตอรี่  (1 ปี) ครั้งล่าสุด 2/2/2568 ใช้แบต Mitsubishi 3.6V และตอนเปลี่ยนแบตให้เปิดเครื่องไว้</t>
  </si>
  <si>
    <t>ล้างสเตนเนอร์ (3 เดือน)</t>
  </si>
  <si>
    <t/>
  </si>
  <si>
    <t>ตรวจสอบแรงดันระบบน้ำ (2.0 -5.0 bar) ลม (6-8 bar) ไอน้ำ (50-65 psi)  (วันที่ใช้งาน)</t>
  </si>
  <si>
    <t>นึ่งฆ่าเชื้อสายยาง ชุดกรอง (1 เดือน - สิ้นเดือน)</t>
  </si>
  <si>
    <t>Preventive maintenance by Thai Vinyter (6 เดือน)</t>
  </si>
  <si>
    <t>ล้างวาล์วน้ำ WFI 5.1 (1 สัปดาห์)</t>
  </si>
  <si>
    <t>ล้างวาล์วน้ำ WFI 5.2 6.2 6.5 (1 เดือน)</t>
  </si>
  <si>
    <t xml:space="preserve">วาล์วน้ำ WFI </t>
  </si>
  <si>
    <t>ห้องกลั่นน้ำ ห้องผสมน้ำยา ชั้น 6</t>
  </si>
  <si>
    <t>พรสวรรค์</t>
  </si>
  <si>
    <t>ล้างวาล์วน้ำ WFI 6.2 และ 6.5 (1 เดือน)</t>
  </si>
  <si>
    <t>เครื่องซีลสายถุงบรรจุโลหิต</t>
  </si>
  <si>
    <t>เครื่องซีลเบอร์ 1-7</t>
  </si>
  <si>
    <t>ห้องเชื่อม pouch</t>
  </si>
  <si>
    <t>ทดสอบการซีลสาย Daily check  ก่อนใช้งาน (วันที่ใช้งาน)</t>
  </si>
  <si>
    <t>เช็ดทำความสะอาดเครื่อง หลังการใช้งาน (วันที่ใช้งาน)</t>
  </si>
  <si>
    <t>เดือน กรกฏาคม</t>
  </si>
  <si>
    <t>เดือน สิงหาคม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</si>
</sst>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Tahoma"/>
      <family val="2"/>
      <charset val="222"/>
      <scheme val="minor"/>
    </font>
    <font>
      <b/>
      <sz val="14"/>
      <color theme="1"/>
      <name val="Angsana New"/>
      <family val="1"/>
    </font>
    <font>
      <b/>
      <sz val="12"/>
      <color rgb="FF000000"/>
      <name val="Angsana New"/>
      <family val="1"/>
    </font>
    <font>
      <sz val="12"/>
      <color rgb="FF000000"/>
      <name val="Angsana New"/>
      <family val="1"/>
    </font>
    <font>
      <sz val="12"/>
      <color theme="1"/>
      <name val="Angsana New"/>
      <family val="1"/>
    </font>
    <font>
      <sz val="12"/>
      <color theme="1"/>
      <name val="Symbol"/>
      <family val="1"/>
      <charset val="2"/>
    </font>
    <font>
      <sz val="14"/>
      <color theme="1"/>
      <name val="Angsana New"/>
      <family val="1"/>
    </font>
    <font>
      <sz val="12"/>
      <color theme="1"/>
      <name val="Tahoma"/>
      <family val="2"/>
      <charset val="222"/>
      <scheme val="minor"/>
    </font>
    <font>
      <b/>
      <sz val="12"/>
      <color theme="1"/>
      <name val="Angsana New"/>
      <family val="1"/>
    </font>
    <font>
      <b/>
      <sz val="9"/>
      <color rgb="FF000000"/>
      <name val="Angsana New"/>
      <family val="1"/>
    </font>
    <font>
      <b/>
      <sz val="16"/>
      <color theme="1"/>
      <name val="Angsana New"/>
      <family val="1"/>
    </font>
    <font>
      <sz val="8"/>
      <name val="Tahoma"/>
      <family val="2"/>
      <charset val="222"/>
      <scheme val="minor"/>
    </font>
    <font>
      <sz val="13"/>
      <color theme="1"/>
      <name val="Angsana New"/>
      <family val="1"/>
    </font>
    <font>
      <sz val="12"/>
      <color rgb="FFFF0000"/>
      <name val="Angsana New"/>
      <family val="1"/>
    </font>
    <font>
      <sz val="11"/>
      <color theme="0"/>
      <name val="Tahoma"/>
      <family val="2"/>
      <charset val="222"/>
      <scheme val="minor"/>
    </font>
    <font>
      <sz val="12"/>
      <color theme="0"/>
      <name val="Angsana New"/>
      <family val="1"/>
    </font>
    <font>
      <sz val="14"/>
      <color theme="0"/>
      <name val="Angsana New"/>
      <family val="1"/>
    </font>
    <font>
      <b/>
      <sz val="16"/>
      <color theme="0"/>
      <name val="Angsana New"/>
      <family val="1"/>
    </font>
    <font>
      <b/>
      <sz val="14"/>
      <color theme="0"/>
      <name val="Angsana New"/>
      <family val="1"/>
    </font>
    <font>
      <b/>
      <sz val="12"/>
      <color theme="0"/>
      <name val="Angsana New"/>
      <family val="1"/>
    </font>
    <font>
      <sz val="12"/>
      <color theme="0"/>
      <name val="Tahoma"/>
      <family val="2"/>
      <charset val="222"/>
      <scheme val="minor"/>
    </font>
    <font>
      <b/>
      <sz val="9"/>
      <color theme="0"/>
      <name val="Angsana New"/>
      <family val="1"/>
    </font>
    <font>
      <sz val="11"/>
      <color theme="1"/>
      <name val="Symbol"/>
      <family val="1"/>
      <charset val="2"/>
    </font>
    <font>
      <sz val="10"/>
      <color theme="1"/>
      <name val="Angsana New"/>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2">
    <border>
      <left/>
      <right/>
      <top/>
      <bottom/>
      <diagonal/>
    </border>
    <border>
      <left/>
      <right/>
      <top/>
      <bottom style="medium">
        <color indexed="64"/>
      </bottom>
      <diagonal/>
    </border>
    <border>
      <left/>
      <right/>
      <top/>
      <bottom style="hair">
        <color auto="1"/>
      </bottom>
      <diagonal/>
    </border>
    <border>
      <left/>
      <right/>
      <top style="hair">
        <color auto="1"/>
      </top>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6" fillId="0" borderId="0" xfId="0" applyFont="1"/>
    <xf numFmtId="0" fontId="7" fillId="0" borderId="0" xfId="0" applyFont="1"/>
    <xf numFmtId="49" fontId="7" fillId="0" borderId="0" xfId="0" applyNumberFormat="1" applyFont="1"/>
    <xf numFmtId="0" fontId="4" fillId="0" borderId="0" xfId="0" applyFont="1"/>
    <xf numFmtId="0" fontId="6" fillId="0" borderId="1" xfId="0" applyFont="1" applyBorder="1"/>
    <xf numFmtId="0" fontId="1" fillId="0" borderId="0" xfId="0" applyFont="1" applyAlignment="1">
      <alignment horizontal="center"/>
    </xf>
    <xf numFmtId="0" fontId="4" fillId="0" borderId="2" xfId="0" applyFont="1" applyBorder="1"/>
    <xf numFmtId="0" fontId="8" fillId="0" borderId="3" xfId="0" applyFont="1" applyBorder="1" applyAlignment="1">
      <alignment horizontal="right"/>
    </xf>
    <xf numFmtId="0" fontId="4" fillId="0" borderId="4" xfId="0" applyFont="1" applyBorder="1"/>
    <xf numFmtId="0" fontId="4" fillId="0" borderId="0" xfId="0" applyFont="1" applyAlignment="1">
      <alignment horizontal="center"/>
    </xf>
    <xf numFmtId="14" fontId="0" fillId="0" borderId="0" xfId="0" applyNumberFormat="1"/>
    <xf numFmtId="0" fontId="8" fillId="0" borderId="0" xfId="0" applyFont="1" applyAlignment="1">
      <alignment horizontal="right"/>
    </xf>
    <xf numFmtId="14" fontId="4" fillId="0" borderId="0" xfId="0" applyNumberFormat="1" applyFont="1" applyAlignment="1">
      <alignment horizontal="center"/>
    </xf>
    <xf numFmtId="0" fontId="4" fillId="0" borderId="1" xfId="0" applyFont="1" applyBorder="1"/>
    <xf numFmtId="0" fontId="10" fillId="0" borderId="0" xfId="0" applyFont="1"/>
    <xf numFmtId="0" fontId="6" fillId="0" borderId="0" xfId="0" applyFont="1" applyAlignment="1">
      <alignment vertical="center"/>
    </xf>
    <xf numFmtId="49" fontId="0" fillId="0" borderId="0" xfId="0" applyNumberFormat="1"/>
    <xf numFmtId="0" fontId="4" fillId="0" borderId="2" xfId="0" quotePrefix="1" applyFont="1" applyBorder="1"/>
    <xf numFmtId="0" fontId="0" fillId="2" borderId="0" xfId="0" applyFill="1"/>
    <xf numFmtId="0" fontId="2" fillId="0" borderId="5" xfId="0" applyFont="1" applyBorder="1" applyAlignment="1">
      <alignment horizontal="center" vertical="center" wrapText="1"/>
    </xf>
    <xf numFmtId="0" fontId="2" fillId="0" borderId="5" xfId="0" applyFont="1" applyBorder="1" applyAlignment="1">
      <alignment horizontal="right" vertical="center" wrapText="1"/>
    </xf>
    <xf numFmtId="0" fontId="3" fillId="0" borderId="5" xfId="0"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5" xfId="0" applyNumberFormat="1" applyFont="1" applyBorder="1" applyAlignment="1">
      <alignment horizontal="right" vertical="center" wrapText="1"/>
    </xf>
    <xf numFmtId="0" fontId="7" fillId="0" borderId="5" xfId="0" applyFont="1" applyBorder="1" applyAlignment="1">
      <alignment vertical="center" wrapText="1"/>
    </xf>
    <xf numFmtId="0" fontId="9" fillId="0" borderId="5" xfId="0" applyFont="1" applyBorder="1" applyAlignment="1">
      <alignment horizontal="right" vertical="center" wrapText="1"/>
    </xf>
    <xf numFmtId="0" fontId="3" fillId="0" borderId="5" xfId="0" applyFont="1" applyBorder="1" applyAlignment="1">
      <alignment horizontal="right" vertical="center" wrapText="1"/>
    </xf>
    <xf numFmtId="0" fontId="4" fillId="0" borderId="5" xfId="0" applyFont="1" applyBorder="1" applyAlignment="1">
      <alignment horizontal="center" vertical="center" wrapText="1"/>
    </xf>
    <xf numFmtId="0" fontId="5" fillId="0" borderId="5" xfId="0" applyFont="1" applyBorder="1" applyAlignment="1">
      <alignment horizontal="center" vertical="center" wrapText="1"/>
    </xf>
    <xf numFmtId="49" fontId="4" fillId="0" borderId="5" xfId="0" quotePrefix="1" applyNumberFormat="1" applyFont="1" applyBorder="1" applyAlignment="1">
      <alignment horizontal="center" vertical="center" wrapText="1"/>
    </xf>
    <xf numFmtId="0" fontId="3" fillId="0" borderId="5" xfId="0" applyFont="1" applyBorder="1" applyAlignment="1">
      <alignment horizontal="center" vertical="center"/>
    </xf>
    <xf numFmtId="49" fontId="3" fillId="0" borderId="5" xfId="0" applyNumberFormat="1" applyFont="1" applyBorder="1" applyAlignment="1">
      <alignment horizontal="center" vertical="center" wrapText="1"/>
    </xf>
    <xf numFmtId="49" fontId="3" fillId="0" borderId="5" xfId="0" quotePrefix="1" applyNumberFormat="1" applyFont="1" applyBorder="1" applyAlignment="1">
      <alignment horizontal="center" vertical="center"/>
    </xf>
    <xf numFmtId="0" fontId="0" fillId="0" borderId="5" xfId="0" applyBorder="1" applyAlignment="1">
      <alignment vertical="center" wrapText="1"/>
    </xf>
    <xf numFmtId="49" fontId="4" fillId="0" borderId="5" xfId="0" applyNumberFormat="1" applyFont="1" applyBorder="1" applyAlignment="1">
      <alignment horizontal="center" vertical="center" wrapText="1"/>
    </xf>
    <xf numFmtId="0" fontId="4" fillId="0" borderId="5" xfId="0" applyFont="1" applyBorder="1" applyAlignment="1">
      <alignment vertical="center" wrapText="1"/>
    </xf>
    <xf numFmtId="0" fontId="0" fillId="0" borderId="0" xfId="0" applyAlignment="1">
      <alignment horizontal="center"/>
    </xf>
    <xf numFmtId="0" fontId="4" fillId="0" borderId="2" xfId="0" applyFont="1" applyBorder="1" applyAlignment="1">
      <alignment horizontal="center"/>
    </xf>
    <xf numFmtId="0" fontId="4" fillId="0" borderId="4" xfId="0" quotePrefix="1" applyFont="1" applyBorder="1"/>
    <xf numFmtId="0" fontId="13" fillId="0" borderId="4" xfId="0" applyFont="1" applyBorder="1"/>
    <xf numFmtId="0" fontId="13" fillId="0" borderId="0" xfId="0" applyFont="1"/>
    <xf numFmtId="0" fontId="18" fillId="3" borderId="0" xfId="0" applyFont="1" applyFill="1" applyAlignment="1">
      <alignment horizontal="center"/>
    </xf>
    <xf numFmtId="0" fontId="15" fillId="3" borderId="0" xfId="0" applyFont="1" applyFill="1"/>
    <xf numFmtId="0" fontId="16" fillId="3" borderId="0" xfId="0" applyFont="1" applyFill="1"/>
    <xf numFmtId="0" fontId="14" fillId="3" borderId="0" xfId="0" applyFont="1" applyFill="1"/>
    <xf numFmtId="0" fontId="19" fillId="3" borderId="0" xfId="0" applyFont="1" applyFill="1" applyAlignment="1">
      <alignment horizontal="center" vertical="center" wrapText="1"/>
    </xf>
    <xf numFmtId="0" fontId="19" fillId="3" borderId="0" xfId="0" applyFont="1" applyFill="1" applyAlignment="1">
      <alignment horizontal="right" vertical="center" wrapText="1"/>
    </xf>
    <xf numFmtId="49" fontId="19" fillId="3" borderId="0" xfId="0" applyNumberFormat="1" applyFont="1" applyFill="1" applyAlignment="1">
      <alignment horizontal="center" vertical="center" wrapText="1"/>
    </xf>
    <xf numFmtId="49" fontId="19" fillId="3" borderId="0" xfId="0" applyNumberFormat="1" applyFont="1" applyFill="1" applyAlignment="1">
      <alignment horizontal="right" vertical="center" wrapText="1"/>
    </xf>
    <xf numFmtId="0" fontId="15" fillId="3" borderId="0" xfId="0" applyFont="1" applyFill="1" applyAlignment="1">
      <alignment horizontal="center" vertical="center" wrapText="1"/>
    </xf>
    <xf numFmtId="0" fontId="20" fillId="3" borderId="0" xfId="0" applyFont="1" applyFill="1" applyAlignment="1">
      <alignment vertical="center" wrapText="1"/>
    </xf>
    <xf numFmtId="0" fontId="21" fillId="3" borderId="0" xfId="0" applyFont="1" applyFill="1" applyAlignment="1">
      <alignment horizontal="right" vertical="center" wrapText="1"/>
    </xf>
    <xf numFmtId="0" fontId="15" fillId="3" borderId="0" xfId="0" applyFont="1" applyFill="1" applyAlignment="1">
      <alignment horizontal="right" vertical="center" wrapText="1"/>
    </xf>
    <xf numFmtId="0" fontId="15" fillId="3" borderId="0" xfId="0" applyFont="1" applyFill="1" applyAlignment="1">
      <alignment horizontal="center"/>
    </xf>
    <xf numFmtId="0" fontId="19" fillId="3" borderId="0" xfId="0" applyFont="1" applyFill="1" applyAlignment="1">
      <alignment horizontal="right"/>
    </xf>
    <xf numFmtId="0" fontId="14" fillId="3" borderId="0" xfId="0" applyFont="1" applyFill="1" applyAlignment="1">
      <alignment horizontal="center"/>
    </xf>
    <xf numFmtId="0" fontId="4" fillId="0" borderId="5" xfId="0" quotePrefix="1" applyFont="1" applyBorder="1" applyAlignment="1">
      <alignment horizontal="center" vertical="center" wrapText="1"/>
    </xf>
    <xf numFmtId="17" fontId="4" fillId="0" borderId="5" xfId="0" quotePrefix="1" applyNumberFormat="1" applyFont="1" applyBorder="1" applyAlignment="1">
      <alignment horizontal="center" vertical="center" wrapText="1"/>
    </xf>
    <xf numFmtId="0" fontId="22" fillId="0" borderId="5" xfId="0" applyFont="1" applyBorder="1" applyAlignment="1">
      <alignment horizontal="center" vertical="center" wrapText="1"/>
    </xf>
    <xf numFmtId="0" fontId="23" fillId="0" borderId="0" xfId="0" applyFont="1"/>
    <xf numFmtId="0" fontId="2" fillId="0" borderId="5" xfId="0" applyFont="1" applyBorder="1" applyAlignment="1">
      <alignment horizontal="center" vertical="center" wrapText="1"/>
    </xf>
    <xf numFmtId="0" fontId="4" fillId="0" borderId="0" xfId="0" applyFont="1" applyAlignment="1">
      <alignment horizontal="center"/>
    </xf>
    <xf numFmtId="0" fontId="8" fillId="0" borderId="3" xfId="0" applyFont="1" applyBorder="1" applyAlignment="1">
      <alignment horizontal="right"/>
    </xf>
    <xf numFmtId="0" fontId="1" fillId="0" borderId="0" xfId="0" applyFont="1" applyAlignment="1">
      <alignment horizontal="center"/>
    </xf>
    <xf numFmtId="0" fontId="4" fillId="0" borderId="5" xfId="0" applyFont="1" applyBorder="1" applyAlignment="1">
      <alignment horizontal="center" vertical="center" wrapText="1"/>
    </xf>
    <xf numFmtId="0" fontId="3" fillId="0" borderId="5" xfId="0" applyFont="1" applyBorder="1" applyAlignment="1">
      <alignment horizontal="center" vertical="center" wrapText="1"/>
    </xf>
    <xf numFmtId="0" fontId="0" fillId="0" borderId="0" xfId="0" applyAlignment="1">
      <alignment horizontal="center"/>
    </xf>
    <xf numFmtId="0" fontId="4" fillId="0" borderId="5"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top" wrapText="1"/>
    </xf>
    <xf numFmtId="0" fontId="4" fillId="0" borderId="0" xfId="0" applyFont="1" applyAlignment="1">
      <alignment horizontal="center"/>
    </xf>
    <xf numFmtId="0" fontId="8" fillId="0" borderId="3" xfId="0" applyFont="1" applyBorder="1" applyAlignment="1">
      <alignment horizontal="right"/>
    </xf>
    <xf numFmtId="0" fontId="4" fillId="0" borderId="4" xfId="0" applyFont="1" applyBorder="1" applyAlignment="1">
      <alignment horizontal="center"/>
    </xf>
    <xf numFmtId="14" fontId="4" fillId="0" borderId="4" xfId="0" applyNumberFormat="1" applyFont="1" applyBorder="1" applyAlignment="1">
      <alignment horizontal="center"/>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10" fillId="0" borderId="0" xfId="0" applyFont="1" applyAlignment="1">
      <alignment horizontal="center"/>
    </xf>
    <xf numFmtId="0" fontId="6" fillId="0" borderId="0" xfId="0" applyFont="1" applyAlignment="1">
      <alignment horizontal="left"/>
    </xf>
    <xf numFmtId="0" fontId="6" fillId="0" borderId="0" xfId="0" quotePrefix="1" applyFont="1" applyAlignment="1">
      <alignment horizontal="left"/>
    </xf>
    <xf numFmtId="0" fontId="1" fillId="0" borderId="0" xfId="0" applyFont="1" applyAlignment="1">
      <alignment horizontal="center"/>
    </xf>
    <xf numFmtId="0" fontId="4" fillId="0" borderId="0" xfId="0" quotePrefix="1" applyFont="1" applyAlignment="1">
      <alignment horizontal="left"/>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left"/>
    </xf>
    <xf numFmtId="0" fontId="6" fillId="0" borderId="1" xfId="0" applyFont="1" applyBorder="1" applyAlignment="1">
      <alignment horizontal="left"/>
    </xf>
    <xf numFmtId="0" fontId="6" fillId="0" borderId="1" xfId="0" quotePrefix="1" applyFont="1" applyBorder="1" applyAlignment="1">
      <alignment horizontal="left"/>
    </xf>
    <xf numFmtId="0" fontId="1" fillId="0" borderId="1" xfId="0" applyFont="1" applyBorder="1" applyAlignment="1">
      <alignment horizontal="center"/>
    </xf>
    <xf numFmtId="0" fontId="3" fillId="0" borderId="5" xfId="0" quotePrefix="1" applyFont="1" applyBorder="1" applyAlignment="1">
      <alignment horizontal="left" vertical="top" wrapText="1"/>
    </xf>
    <xf numFmtId="0" fontId="12" fillId="0" borderId="0" xfId="0" applyFont="1" applyAlignment="1">
      <alignment horizontal="left"/>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8" fillId="0" borderId="3" xfId="0" applyFont="1" applyBorder="1" applyAlignment="1">
      <alignment horizontal="center"/>
    </xf>
    <xf numFmtId="17"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3" fillId="0" borderId="5" xfId="0" applyFont="1" applyBorder="1" applyAlignment="1">
      <alignment vertical="top" wrapText="1"/>
    </xf>
    <xf numFmtId="0" fontId="6" fillId="0" borderId="0" xfId="0" applyFont="1" applyAlignment="1">
      <alignment horizontal="center"/>
    </xf>
    <xf numFmtId="0" fontId="15" fillId="3" borderId="0" xfId="0" applyFont="1" applyFill="1" applyAlignment="1">
      <alignment horizontal="left" vertical="top" wrapText="1"/>
    </xf>
    <xf numFmtId="17" fontId="19" fillId="3" borderId="0" xfId="0" applyNumberFormat="1" applyFont="1" applyFill="1" applyAlignment="1">
      <alignment horizontal="center" vertical="center" wrapText="1"/>
    </xf>
    <xf numFmtId="0" fontId="15" fillId="3" borderId="0" xfId="0" applyFont="1" applyFill="1" applyAlignment="1">
      <alignment horizontal="center"/>
    </xf>
    <xf numFmtId="0" fontId="19" fillId="3" borderId="0" xfId="0" applyFont="1" applyFill="1" applyAlignment="1">
      <alignment horizontal="right"/>
    </xf>
    <xf numFmtId="0" fontId="19" fillId="3" borderId="0" xfId="0" applyFont="1" applyFill="1" applyAlignment="1">
      <alignment horizontal="center"/>
    </xf>
    <xf numFmtId="14" fontId="15" fillId="3" borderId="0" xfId="0" applyNumberFormat="1" applyFont="1" applyFill="1" applyAlignment="1">
      <alignment horizontal="center"/>
    </xf>
    <xf numFmtId="0" fontId="17" fillId="3" borderId="0" xfId="0" applyFont="1" applyFill="1" applyAlignment="1">
      <alignment horizontal="center"/>
    </xf>
    <xf numFmtId="0" fontId="16" fillId="3" borderId="0" xfId="0" applyFont="1" applyFill="1" applyAlignment="1">
      <alignment horizontal="left"/>
    </xf>
    <xf numFmtId="0" fontId="15" fillId="3" borderId="0" xfId="0" quotePrefix="1" applyFont="1" applyFill="1" applyAlignment="1">
      <alignment horizontal="left"/>
    </xf>
    <xf numFmtId="0" fontId="18" fillId="3" borderId="0" xfId="0" applyFont="1" applyFill="1" applyAlignment="1">
      <alignment horizontal="center"/>
    </xf>
    <xf numFmtId="0" fontId="16" fillId="3" borderId="0" xfId="0" applyFont="1" applyFill="1" applyAlignment="1">
      <alignment horizontal="center"/>
    </xf>
    <xf numFmtId="17" fontId="0" fillId="0" borderId="0" xfId="0" applyNumberFormat="1" applyAlignment="1">
      <alignment horizontal="center"/>
    </xf>
    <xf numFmtId="0" fontId="0" fillId="0" borderId="0" xfId="0" applyAlignment="1">
      <alignment horizontal="center"/>
    </xf>
    <xf numFmtId="0" fontId="6" fillId="0" borderId="1" xfId="0" applyFont="1" applyBorder="1" applyAlignment="1">
      <alignment horizontal="center"/>
    </xf>
    <xf numFmtId="0" fontId="4" fillId="0" borderId="1" xfId="0" quotePrefix="1" applyFont="1" applyBorder="1" applyAlignment="1">
      <alignment horizontal="left"/>
    </xf>
    <xf numFmtId="0" fontId="4" fillId="0" borderId="1" xfId="0" applyFont="1" applyBorder="1" applyAlignment="1">
      <alignment horizontal="left"/>
    </xf>
  </cellXfs>
  <cellStyles count="1">
    <cellStyle name="Normal" xfId="0" builtinId="0"/>
  </cellStyles>
  <dxfs count="15">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650B-C839-4883-A394-D238DA56D0A7}">
  <dimension ref="A1:AC90"/>
  <sheetViews>
    <sheetView view="pageBreakPreview" topLeftCell="A54" zoomScale="130" zoomScaleNormal="100" zoomScaleSheetLayoutView="130" workbookViewId="0">
      <selection activeCell="C47" sqref="C47:AC47"/>
    </sheetView>
  </sheetViews>
  <sheetFormatPr defaultColWidth="9.125" defaultRowHeight="14.25" x14ac:dyDescent="0.2"/>
  <cols>
    <col min="1" max="1" width="16.125" customWidth="1"/>
    <col min="2" max="2" width="6" bestFit="1" customWidth="1"/>
    <col min="3" max="3" width="4.375" bestFit="1" customWidth="1"/>
    <col min="4" max="4" width="5.625" bestFit="1" customWidth="1"/>
    <col min="5" max="23" width="4.375" bestFit="1" customWidth="1"/>
    <col min="24" max="24" width="4.875" bestFit="1" customWidth="1"/>
    <col min="25" max="29" width="4.375" bestFit="1" customWidth="1"/>
    <col min="30" max="31" width="9.75" bestFit="1" customWidth="1"/>
  </cols>
  <sheetData>
    <row r="1" spans="1:29" ht="23.25" x14ac:dyDescent="0.5">
      <c r="A1" s="80" t="s">
        <v>26</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row>
    <row r="2" spans="1:29" ht="21" x14ac:dyDescent="0.45">
      <c r="A2" s="6" t="s">
        <v>22</v>
      </c>
      <c r="B2" s="81" t="s">
        <v>269</v>
      </c>
      <c r="C2" s="81"/>
      <c r="D2" s="81"/>
      <c r="E2" s="81"/>
      <c r="F2" s="81"/>
      <c r="G2" s="81"/>
      <c r="H2" s="6" t="s">
        <v>24</v>
      </c>
      <c r="I2" s="82" t="s">
        <v>276</v>
      </c>
      <c r="J2" s="82"/>
      <c r="K2" s="82"/>
      <c r="L2" s="82"/>
      <c r="M2" s="83" t="s">
        <v>25</v>
      </c>
      <c r="N2" s="83"/>
      <c r="O2" s="81" t="s">
        <v>103</v>
      </c>
      <c r="P2" s="81"/>
      <c r="Q2" s="81"/>
      <c r="R2" s="81"/>
      <c r="S2" s="81"/>
      <c r="T2" s="6" t="s">
        <v>20</v>
      </c>
      <c r="U2" s="81">
        <v>2568</v>
      </c>
      <c r="V2" s="81"/>
      <c r="W2" s="83" t="s">
        <v>35</v>
      </c>
      <c r="X2" s="83"/>
      <c r="Y2" s="83"/>
      <c r="Z2" s="4" t="s">
        <v>281</v>
      </c>
      <c r="AA2" s="1"/>
      <c r="AB2" s="1"/>
      <c r="AC2" s="1"/>
    </row>
    <row r="3" spans="1:29" ht="18" x14ac:dyDescent="0.2">
      <c r="A3" s="20" t="s">
        <v>0</v>
      </c>
      <c r="B3" s="21" t="s">
        <v>2</v>
      </c>
      <c r="C3" s="75" t="s">
        <v>32</v>
      </c>
      <c r="D3" s="75"/>
      <c r="E3" s="75"/>
      <c r="F3" s="75"/>
      <c r="G3" s="75"/>
      <c r="H3" s="75" t="s">
        <v>7</v>
      </c>
      <c r="I3" s="75"/>
      <c r="J3" s="75"/>
      <c r="K3" s="75"/>
      <c r="L3" s="77" t="s">
        <v>8</v>
      </c>
      <c r="M3" s="78"/>
      <c r="N3" s="78"/>
      <c r="O3" s="79"/>
      <c r="P3" s="77" t="s">
        <v>9</v>
      </c>
      <c r="Q3" s="78"/>
      <c r="R3" s="78"/>
      <c r="S3" s="78"/>
      <c r="T3" s="79"/>
      <c r="U3" s="75" t="s">
        <v>10</v>
      </c>
      <c r="V3" s="75"/>
      <c r="W3" s="75"/>
      <c r="X3" s="75"/>
      <c r="Y3" s="75"/>
      <c r="Z3" s="75" t="s">
        <v>11</v>
      </c>
      <c r="AA3" s="75"/>
      <c r="AB3" s="75"/>
      <c r="AC3" s="75"/>
    </row>
    <row r="4" spans="1:29" ht="18" x14ac:dyDescent="0.2">
      <c r="A4" s="23" t="s">
        <v>1</v>
      </c>
      <c r="B4" s="24" t="s">
        <v>3</v>
      </c>
      <c r="C4" s="28" t="s">
        <v>243</v>
      </c>
      <c r="D4" s="28" t="s">
        <v>207</v>
      </c>
      <c r="E4" s="28" t="s">
        <v>229</v>
      </c>
      <c r="F4" s="28" t="s">
        <v>230</v>
      </c>
      <c r="G4" s="28" t="s">
        <v>231</v>
      </c>
      <c r="H4" s="28" t="s">
        <v>164</v>
      </c>
      <c r="I4" s="28" t="s">
        <v>59</v>
      </c>
      <c r="J4" s="28" t="s">
        <v>58</v>
      </c>
      <c r="K4" s="28" t="s">
        <v>244</v>
      </c>
      <c r="L4" s="28" t="s">
        <v>164</v>
      </c>
      <c r="M4" s="28" t="s">
        <v>59</v>
      </c>
      <c r="N4" s="28" t="s">
        <v>58</v>
      </c>
      <c r="O4" s="28" t="s">
        <v>253</v>
      </c>
      <c r="P4" s="28" t="s">
        <v>245</v>
      </c>
      <c r="Q4" s="28" t="s">
        <v>174</v>
      </c>
      <c r="R4" s="28" t="s">
        <v>180</v>
      </c>
      <c r="S4" s="28" t="s">
        <v>181</v>
      </c>
      <c r="T4" s="28" t="s">
        <v>246</v>
      </c>
      <c r="U4" s="28" t="s">
        <v>248</v>
      </c>
      <c r="V4" s="28" t="s">
        <v>175</v>
      </c>
      <c r="W4" s="28" t="s">
        <v>170</v>
      </c>
      <c r="X4" s="28" t="s">
        <v>171</v>
      </c>
      <c r="Y4" s="28" t="s">
        <v>176</v>
      </c>
      <c r="Z4" s="28" t="s">
        <v>177</v>
      </c>
      <c r="AA4" s="28" t="s">
        <v>178</v>
      </c>
      <c r="AB4" s="28" t="s">
        <v>179</v>
      </c>
      <c r="AC4" s="28" t="s">
        <v>247</v>
      </c>
    </row>
    <row r="5" spans="1:29" ht="18" x14ac:dyDescent="0.2">
      <c r="A5" s="25"/>
      <c r="B5" s="26"/>
      <c r="C5" s="22" t="s">
        <v>12</v>
      </c>
      <c r="D5" s="22" t="s">
        <v>12</v>
      </c>
      <c r="E5" s="22" t="s">
        <v>12</v>
      </c>
      <c r="F5" s="22" t="s">
        <v>12</v>
      </c>
      <c r="G5" s="22" t="s">
        <v>12</v>
      </c>
      <c r="H5" s="22" t="s">
        <v>12</v>
      </c>
      <c r="I5" s="22" t="s">
        <v>12</v>
      </c>
      <c r="J5" s="22" t="s">
        <v>12</v>
      </c>
      <c r="K5" s="22" t="s">
        <v>12</v>
      </c>
      <c r="L5" s="22" t="s">
        <v>12</v>
      </c>
      <c r="M5" s="22" t="s">
        <v>12</v>
      </c>
      <c r="N5" s="22" t="s">
        <v>12</v>
      </c>
      <c r="O5" s="22" t="s">
        <v>12</v>
      </c>
      <c r="P5" s="22" t="s">
        <v>12</v>
      </c>
      <c r="Q5" s="22" t="s">
        <v>12</v>
      </c>
      <c r="R5" s="22" t="s">
        <v>12</v>
      </c>
      <c r="S5" s="22" t="s">
        <v>12</v>
      </c>
      <c r="T5" s="22" t="s">
        <v>12</v>
      </c>
      <c r="U5" s="22" t="s">
        <v>12</v>
      </c>
      <c r="V5" s="22" t="s">
        <v>12</v>
      </c>
      <c r="W5" s="22" t="s">
        <v>12</v>
      </c>
      <c r="X5" s="22" t="s">
        <v>12</v>
      </c>
      <c r="Y5" s="22" t="s">
        <v>12</v>
      </c>
      <c r="Z5" s="22" t="s">
        <v>12</v>
      </c>
      <c r="AA5" s="22" t="s">
        <v>12</v>
      </c>
      <c r="AB5" s="22" t="s">
        <v>12</v>
      </c>
      <c r="AC5" s="22" t="s">
        <v>12</v>
      </c>
    </row>
    <row r="6" spans="1:29" ht="18.75" customHeight="1" x14ac:dyDescent="0.2">
      <c r="A6" s="70" t="s">
        <v>280</v>
      </c>
      <c r="B6" s="27" t="s">
        <v>5</v>
      </c>
      <c r="C6" s="28"/>
      <c r="D6" s="28"/>
      <c r="E6" s="28"/>
      <c r="F6" s="28"/>
      <c r="G6" s="29"/>
      <c r="H6" s="28"/>
      <c r="I6" s="28"/>
      <c r="J6" s="28"/>
      <c r="K6" s="29"/>
      <c r="L6" s="28"/>
      <c r="M6" s="28"/>
      <c r="N6" s="28"/>
      <c r="O6" s="28"/>
      <c r="P6" s="29"/>
      <c r="Q6" s="28"/>
      <c r="R6" s="28"/>
      <c r="S6" s="29" t="s">
        <v>60</v>
      </c>
      <c r="T6" s="29"/>
      <c r="U6" s="28"/>
      <c r="V6" s="28"/>
      <c r="W6" s="28"/>
      <c r="X6" s="28"/>
      <c r="Y6" s="29"/>
      <c r="Z6" s="28"/>
      <c r="AA6" s="28"/>
      <c r="AB6" s="22"/>
      <c r="AC6" s="29"/>
    </row>
    <row r="7" spans="1:29" ht="18" x14ac:dyDescent="0.2">
      <c r="A7" s="70"/>
      <c r="B7" s="27" t="s">
        <v>6</v>
      </c>
      <c r="C7" s="22"/>
      <c r="D7" s="22"/>
      <c r="E7" s="22"/>
      <c r="F7" s="22"/>
      <c r="G7" s="22"/>
      <c r="H7" s="22"/>
      <c r="I7" s="22"/>
      <c r="J7" s="22"/>
      <c r="K7" s="22"/>
      <c r="L7" s="22"/>
      <c r="M7" s="22"/>
      <c r="N7" s="22"/>
      <c r="O7" s="22"/>
      <c r="P7" s="22"/>
      <c r="Q7" s="22"/>
      <c r="R7" s="22"/>
      <c r="S7" s="22"/>
      <c r="T7" s="22"/>
      <c r="U7" s="22"/>
      <c r="V7" s="22"/>
      <c r="W7" s="22"/>
      <c r="X7" s="22"/>
      <c r="Y7" s="22"/>
      <c r="Z7" s="22"/>
      <c r="AA7" s="22"/>
      <c r="AB7" s="22"/>
      <c r="AC7" s="22"/>
    </row>
    <row r="8" spans="1:29" ht="18" x14ac:dyDescent="0.2">
      <c r="A8" s="70"/>
      <c r="B8" s="27" t="s">
        <v>3</v>
      </c>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ht="18.75" customHeight="1" x14ac:dyDescent="0.2">
      <c r="A9" s="70" t="s">
        <v>279</v>
      </c>
      <c r="B9" s="27" t="s">
        <v>5</v>
      </c>
      <c r="C9" s="35"/>
      <c r="D9" s="28"/>
      <c r="E9" s="35"/>
      <c r="F9" s="35"/>
      <c r="G9" s="29"/>
      <c r="H9" s="28"/>
      <c r="I9" s="28"/>
      <c r="J9" s="28"/>
      <c r="K9" s="29"/>
      <c r="L9" s="28"/>
      <c r="M9" s="28"/>
      <c r="N9" s="28"/>
      <c r="O9" s="28"/>
      <c r="P9" s="29"/>
      <c r="Q9" s="28"/>
      <c r="R9" s="28"/>
      <c r="S9" s="59" t="s">
        <v>239</v>
      </c>
      <c r="T9" s="29"/>
      <c r="U9" s="28"/>
      <c r="V9" s="28"/>
      <c r="W9" s="28"/>
      <c r="X9" s="28"/>
      <c r="Y9" s="29"/>
      <c r="Z9" s="28"/>
      <c r="AA9" s="28"/>
      <c r="AB9" s="22"/>
      <c r="AC9" s="29"/>
    </row>
    <row r="10" spans="1:29" ht="18" x14ac:dyDescent="0.2">
      <c r="A10" s="70"/>
      <c r="B10" s="27" t="s">
        <v>6</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spans="1:29" ht="18" x14ac:dyDescent="0.2">
      <c r="A11" s="70"/>
      <c r="B11" s="27" t="s">
        <v>3</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row>
    <row r="12" spans="1:29" ht="18.75" customHeight="1" x14ac:dyDescent="0.2">
      <c r="A12" s="70"/>
      <c r="B12" s="27" t="s">
        <v>5</v>
      </c>
      <c r="C12" s="28"/>
      <c r="D12" s="28"/>
      <c r="E12" s="28"/>
      <c r="F12" s="28"/>
      <c r="G12" s="28"/>
      <c r="H12" s="28"/>
      <c r="I12" s="28"/>
      <c r="J12" s="28"/>
      <c r="K12" s="28"/>
      <c r="L12" s="28"/>
      <c r="M12" s="28"/>
      <c r="N12" s="28"/>
      <c r="O12" s="28"/>
      <c r="P12" s="28"/>
      <c r="Q12" s="28"/>
      <c r="R12" s="28"/>
      <c r="S12" s="28"/>
      <c r="T12" s="29"/>
      <c r="U12" s="29"/>
      <c r="V12" s="28"/>
      <c r="W12" s="28"/>
      <c r="X12" s="28"/>
      <c r="Y12" s="28"/>
      <c r="Z12" s="28"/>
      <c r="AA12" s="28"/>
      <c r="AB12" s="22"/>
      <c r="AC12" s="28"/>
    </row>
    <row r="13" spans="1:29" ht="18" x14ac:dyDescent="0.2">
      <c r="A13" s="70"/>
      <c r="B13" s="27" t="s">
        <v>6</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spans="1:29" ht="18" x14ac:dyDescent="0.2">
      <c r="A14" s="70"/>
      <c r="B14" s="27" t="s">
        <v>3</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spans="1:29" ht="18" x14ac:dyDescent="0.2">
      <c r="A15" s="20" t="s">
        <v>0</v>
      </c>
      <c r="B15" s="21" t="s">
        <v>2</v>
      </c>
      <c r="C15" s="76" t="s">
        <v>13</v>
      </c>
      <c r="D15" s="76"/>
      <c r="E15" s="76"/>
      <c r="F15" s="76"/>
      <c r="G15" s="76"/>
      <c r="H15" s="76" t="s">
        <v>14</v>
      </c>
      <c r="I15" s="76"/>
      <c r="J15" s="76"/>
      <c r="K15" s="76"/>
      <c r="L15" s="76" t="s">
        <v>15</v>
      </c>
      <c r="M15" s="76"/>
      <c r="N15" s="76"/>
      <c r="O15" s="76"/>
      <c r="P15" s="76" t="s">
        <v>16</v>
      </c>
      <c r="Q15" s="76"/>
      <c r="R15" s="76"/>
      <c r="S15" s="76"/>
      <c r="T15" s="76"/>
      <c r="U15" s="76" t="s">
        <v>17</v>
      </c>
      <c r="V15" s="76"/>
      <c r="W15" s="76"/>
      <c r="X15" s="76"/>
      <c r="Y15" s="76" t="s">
        <v>18</v>
      </c>
      <c r="Z15" s="76"/>
      <c r="AA15" s="76"/>
      <c r="AB15" s="76"/>
      <c r="AC15" s="76"/>
    </row>
    <row r="16" spans="1:29" ht="18" x14ac:dyDescent="0.2">
      <c r="A16" s="20" t="s">
        <v>1</v>
      </c>
      <c r="B16" s="24" t="s">
        <v>3</v>
      </c>
      <c r="C16" s="35" t="s">
        <v>245</v>
      </c>
      <c r="D16" s="35" t="s">
        <v>174</v>
      </c>
      <c r="E16" s="35" t="s">
        <v>180</v>
      </c>
      <c r="F16" s="35" t="s">
        <v>181</v>
      </c>
      <c r="G16" s="35" t="s">
        <v>249</v>
      </c>
      <c r="H16" s="35" t="s">
        <v>250</v>
      </c>
      <c r="I16" s="35" t="s">
        <v>182</v>
      </c>
      <c r="J16" s="35" t="s">
        <v>183</v>
      </c>
      <c r="K16" s="35" t="s">
        <v>228</v>
      </c>
      <c r="L16" s="35" t="s">
        <v>166</v>
      </c>
      <c r="M16" s="35" t="s">
        <v>167</v>
      </c>
      <c r="N16" s="35" t="s">
        <v>168</v>
      </c>
      <c r="O16" s="35" t="s">
        <v>251</v>
      </c>
      <c r="P16" s="35" t="s">
        <v>243</v>
      </c>
      <c r="Q16" s="35" t="s">
        <v>207</v>
      </c>
      <c r="R16" s="35" t="s">
        <v>229</v>
      </c>
      <c r="S16" s="35" t="s">
        <v>230</v>
      </c>
      <c r="T16" s="35" t="s">
        <v>231</v>
      </c>
      <c r="U16" s="35" t="s">
        <v>164</v>
      </c>
      <c r="V16" s="35" t="s">
        <v>59</v>
      </c>
      <c r="W16" s="35" t="s">
        <v>58</v>
      </c>
      <c r="X16" s="35" t="s">
        <v>165</v>
      </c>
      <c r="Y16" s="35" t="s">
        <v>166</v>
      </c>
      <c r="Z16" s="35" t="s">
        <v>167</v>
      </c>
      <c r="AA16" s="35" t="s">
        <v>168</v>
      </c>
      <c r="AB16" s="35" t="s">
        <v>169</v>
      </c>
      <c r="AC16" s="35" t="s">
        <v>252</v>
      </c>
    </row>
    <row r="17" spans="1:29" ht="18" x14ac:dyDescent="0.2">
      <c r="A17" s="34"/>
      <c r="B17" s="26"/>
      <c r="C17" s="22" t="s">
        <v>12</v>
      </c>
      <c r="D17" s="22" t="s">
        <v>12</v>
      </c>
      <c r="E17" s="22" t="s">
        <v>12</v>
      </c>
      <c r="F17" s="22" t="s">
        <v>12</v>
      </c>
      <c r="G17" s="22" t="s">
        <v>12</v>
      </c>
      <c r="H17" s="22" t="s">
        <v>12</v>
      </c>
      <c r="I17" s="22" t="s">
        <v>12</v>
      </c>
      <c r="J17" s="22" t="s">
        <v>12</v>
      </c>
      <c r="K17" s="22" t="s">
        <v>12</v>
      </c>
      <c r="L17" s="22" t="s">
        <v>12</v>
      </c>
      <c r="M17" s="22" t="s">
        <v>12</v>
      </c>
      <c r="N17" s="22" t="s">
        <v>12</v>
      </c>
      <c r="O17" s="22" t="s">
        <v>12</v>
      </c>
      <c r="P17" s="22" t="s">
        <v>12</v>
      </c>
      <c r="Q17" s="22" t="s">
        <v>12</v>
      </c>
      <c r="R17" s="22" t="s">
        <v>12</v>
      </c>
      <c r="S17" s="22" t="s">
        <v>12</v>
      </c>
      <c r="T17" s="22" t="s">
        <v>12</v>
      </c>
      <c r="U17" s="22" t="s">
        <v>12</v>
      </c>
      <c r="V17" s="22" t="s">
        <v>12</v>
      </c>
      <c r="W17" s="22" t="s">
        <v>12</v>
      </c>
      <c r="X17" s="22" t="s">
        <v>12</v>
      </c>
      <c r="Y17" s="22" t="s">
        <v>12</v>
      </c>
      <c r="Z17" s="22" t="s">
        <v>12</v>
      </c>
      <c r="AA17" s="22" t="s">
        <v>12</v>
      </c>
      <c r="AB17" s="22" t="s">
        <v>12</v>
      </c>
      <c r="AC17" s="22" t="s">
        <v>12</v>
      </c>
    </row>
    <row r="18" spans="1:29" ht="18.75" customHeight="1" x14ac:dyDescent="0.2">
      <c r="A18" s="70" t="s">
        <v>280</v>
      </c>
      <c r="B18" s="27" t="s">
        <v>5</v>
      </c>
      <c r="C18" s="28"/>
      <c r="D18" s="28"/>
      <c r="E18" s="28"/>
      <c r="F18" s="28"/>
      <c r="G18" s="29"/>
      <c r="H18" s="28"/>
      <c r="I18" s="28"/>
      <c r="J18" s="28"/>
      <c r="K18" s="29"/>
      <c r="L18" s="28"/>
      <c r="M18" s="28"/>
      <c r="N18" s="28"/>
      <c r="O18" s="29"/>
      <c r="P18" s="28"/>
      <c r="Q18" s="28"/>
      <c r="R18" s="28"/>
      <c r="S18" s="29" t="s">
        <v>60</v>
      </c>
      <c r="T18" s="29"/>
      <c r="U18" s="28"/>
      <c r="V18" s="28"/>
      <c r="W18" s="28"/>
      <c r="X18" s="29"/>
      <c r="Y18" s="28"/>
      <c r="Z18" s="28"/>
      <c r="AA18" s="28"/>
      <c r="AB18" s="22"/>
      <c r="AC18" s="29"/>
    </row>
    <row r="19" spans="1:29" ht="18" x14ac:dyDescent="0.2">
      <c r="A19" s="70"/>
      <c r="B19" s="27" t="s">
        <v>6</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row>
    <row r="20" spans="1:29" ht="18" x14ac:dyDescent="0.2">
      <c r="A20" s="70"/>
      <c r="B20" s="27" t="s">
        <v>3</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row>
    <row r="21" spans="1:29" ht="18.75" customHeight="1" x14ac:dyDescent="0.2">
      <c r="A21" s="70" t="s">
        <v>279</v>
      </c>
      <c r="B21" s="27" t="s">
        <v>5</v>
      </c>
      <c r="C21" s="29"/>
      <c r="D21" s="28"/>
      <c r="E21" s="28"/>
      <c r="F21" s="35"/>
      <c r="G21" s="28"/>
      <c r="H21" s="28"/>
      <c r="I21" s="28"/>
      <c r="J21" s="28"/>
      <c r="K21" s="28"/>
      <c r="L21" s="28"/>
      <c r="M21" s="28"/>
      <c r="N21" s="28"/>
      <c r="O21" s="28"/>
      <c r="P21" s="28"/>
      <c r="Q21" s="28"/>
      <c r="R21" s="28"/>
      <c r="S21" s="28"/>
      <c r="T21" s="28"/>
      <c r="U21" s="28"/>
      <c r="V21" s="28"/>
      <c r="W21" s="28"/>
      <c r="X21" s="29"/>
      <c r="Y21" s="28"/>
      <c r="Z21" s="28"/>
      <c r="AA21" s="28"/>
      <c r="AB21" s="22"/>
      <c r="AC21" s="28"/>
    </row>
    <row r="22" spans="1:29" ht="18" x14ac:dyDescent="0.2">
      <c r="A22" s="70"/>
      <c r="B22" s="27" t="s">
        <v>6</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row>
    <row r="23" spans="1:29" ht="18" x14ac:dyDescent="0.2">
      <c r="A23" s="70"/>
      <c r="B23" s="27" t="s">
        <v>3</v>
      </c>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row>
    <row r="24" spans="1:29" ht="18.75" customHeight="1" x14ac:dyDescent="0.2">
      <c r="A24" s="70"/>
      <c r="B24" s="27" t="s">
        <v>5</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2"/>
      <c r="AC24" s="29"/>
    </row>
    <row r="25" spans="1:29" ht="18" x14ac:dyDescent="0.2">
      <c r="A25" s="70"/>
      <c r="B25" s="27" t="s">
        <v>6</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row>
    <row r="26" spans="1:29" ht="18" x14ac:dyDescent="0.2">
      <c r="A26" s="70"/>
      <c r="B26" s="27" t="s">
        <v>3</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row>
    <row r="27" spans="1:29" ht="18" x14ac:dyDescent="0.4">
      <c r="A27" s="4" t="s">
        <v>219</v>
      </c>
      <c r="B27" s="4"/>
      <c r="C27" s="4"/>
      <c r="D27" s="4"/>
      <c r="E27" s="4"/>
      <c r="F27" s="4"/>
      <c r="G27" s="4"/>
      <c r="H27" s="4"/>
      <c r="I27" s="4"/>
      <c r="J27" s="4"/>
      <c r="K27" s="4"/>
      <c r="L27" s="4"/>
      <c r="M27" s="4"/>
      <c r="N27" s="4"/>
      <c r="O27" s="4"/>
      <c r="P27" s="4"/>
      <c r="Q27" s="4"/>
      <c r="R27" s="4"/>
      <c r="S27" s="4"/>
      <c r="T27" s="4"/>
      <c r="U27" s="4"/>
      <c r="V27" s="4"/>
      <c r="W27" s="71"/>
      <c r="X27" s="71"/>
      <c r="Y27" s="71"/>
      <c r="Z27" s="71"/>
      <c r="AA27" s="71"/>
      <c r="AB27" s="71"/>
      <c r="AC27" s="71"/>
    </row>
    <row r="28" spans="1:29" ht="18" x14ac:dyDescent="0.4">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ht="18" x14ac:dyDescent="0.4">
      <c r="A29" s="9"/>
      <c r="B29" s="9"/>
      <c r="C29" s="9"/>
      <c r="D29" s="9"/>
      <c r="E29" s="9"/>
      <c r="F29" s="9"/>
      <c r="G29" s="9"/>
      <c r="H29" s="9"/>
      <c r="I29" s="9"/>
      <c r="J29" s="9"/>
      <c r="K29" s="9"/>
      <c r="L29" s="9"/>
      <c r="M29" s="9"/>
      <c r="N29" s="9"/>
      <c r="O29" s="9"/>
      <c r="P29" s="72" t="s">
        <v>28</v>
      </c>
      <c r="Q29" s="72"/>
      <c r="R29" s="73" t="s">
        <v>37</v>
      </c>
      <c r="S29" s="73"/>
      <c r="T29" s="73"/>
      <c r="U29" s="72" t="s">
        <v>30</v>
      </c>
      <c r="V29" s="72"/>
      <c r="W29" s="73" t="s">
        <v>38</v>
      </c>
      <c r="X29" s="73"/>
      <c r="Y29" s="73"/>
      <c r="Z29" s="8" t="s">
        <v>29</v>
      </c>
      <c r="AA29" s="74">
        <v>45748</v>
      </c>
      <c r="AB29" s="74"/>
      <c r="AC29" s="74"/>
    </row>
    <row r="30" spans="1:29" ht="23.25" x14ac:dyDescent="0.5">
      <c r="A30" s="80" t="s">
        <v>26</v>
      </c>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row>
    <row r="31" spans="1:29" ht="21" x14ac:dyDescent="0.45">
      <c r="A31" s="6" t="s">
        <v>22</v>
      </c>
      <c r="B31" s="81" t="s">
        <v>269</v>
      </c>
      <c r="C31" s="81"/>
      <c r="D31" s="81"/>
      <c r="E31" s="81"/>
      <c r="F31" s="81"/>
      <c r="G31" s="81"/>
      <c r="H31" s="6" t="s">
        <v>24</v>
      </c>
      <c r="I31" s="82" t="s">
        <v>276</v>
      </c>
      <c r="J31" s="82"/>
      <c r="K31" s="82"/>
      <c r="L31" s="82"/>
      <c r="M31" s="83" t="s">
        <v>25</v>
      </c>
      <c r="N31" s="83"/>
      <c r="O31" s="81" t="s">
        <v>103</v>
      </c>
      <c r="P31" s="81"/>
      <c r="Q31" s="81"/>
      <c r="R31" s="81"/>
      <c r="S31" s="81"/>
      <c r="T31" s="6" t="s">
        <v>20</v>
      </c>
      <c r="U31" s="81">
        <v>2569</v>
      </c>
      <c r="V31" s="81"/>
      <c r="W31" s="83" t="s">
        <v>35</v>
      </c>
      <c r="X31" s="83"/>
      <c r="Y31" s="83"/>
      <c r="Z31" s="4" t="s">
        <v>282</v>
      </c>
      <c r="AA31" s="1"/>
      <c r="AB31" s="1"/>
      <c r="AC31" s="1"/>
    </row>
    <row r="32" spans="1:29" ht="18" x14ac:dyDescent="0.2">
      <c r="A32" s="20" t="s">
        <v>0</v>
      </c>
      <c r="B32" s="21" t="s">
        <v>2</v>
      </c>
      <c r="C32" s="75" t="s">
        <v>32</v>
      </c>
      <c r="D32" s="75"/>
      <c r="E32" s="75"/>
      <c r="F32" s="75"/>
      <c r="G32" s="75"/>
      <c r="H32" s="75" t="s">
        <v>7</v>
      </c>
      <c r="I32" s="75"/>
      <c r="J32" s="75"/>
      <c r="K32" s="75"/>
      <c r="L32" s="77" t="s">
        <v>8</v>
      </c>
      <c r="M32" s="78"/>
      <c r="N32" s="78"/>
      <c r="O32" s="79"/>
      <c r="P32" s="77" t="s">
        <v>9</v>
      </c>
      <c r="Q32" s="78"/>
      <c r="R32" s="78"/>
      <c r="S32" s="78"/>
      <c r="T32" s="79"/>
      <c r="U32" s="75" t="s">
        <v>10</v>
      </c>
      <c r="V32" s="75"/>
      <c r="W32" s="75"/>
      <c r="X32" s="75"/>
      <c r="Y32" s="75"/>
      <c r="Z32" s="75" t="s">
        <v>11</v>
      </c>
      <c r="AA32" s="75"/>
      <c r="AB32" s="75"/>
      <c r="AC32" s="75"/>
    </row>
    <row r="33" spans="1:29" ht="18" x14ac:dyDescent="0.2">
      <c r="A33" s="23" t="s">
        <v>1</v>
      </c>
      <c r="B33" s="24" t="s">
        <v>3</v>
      </c>
      <c r="C33" s="57" t="s">
        <v>248</v>
      </c>
      <c r="D33" s="58" t="s">
        <v>175</v>
      </c>
      <c r="E33" s="57" t="s">
        <v>170</v>
      </c>
      <c r="F33" s="57" t="s">
        <v>171</v>
      </c>
      <c r="G33" s="57" t="s">
        <v>176</v>
      </c>
      <c r="H33" s="57" t="s">
        <v>166</v>
      </c>
      <c r="I33" s="57" t="s">
        <v>178</v>
      </c>
      <c r="J33" s="57" t="s">
        <v>179</v>
      </c>
      <c r="K33" s="57" t="s">
        <v>270</v>
      </c>
      <c r="L33" s="57" t="s">
        <v>177</v>
      </c>
      <c r="M33" s="57" t="s">
        <v>178</v>
      </c>
      <c r="N33" s="57" t="s">
        <v>179</v>
      </c>
      <c r="O33" s="57" t="s">
        <v>271</v>
      </c>
      <c r="P33" s="57" t="s">
        <v>243</v>
      </c>
      <c r="Q33" s="57" t="s">
        <v>207</v>
      </c>
      <c r="R33" s="57" t="s">
        <v>229</v>
      </c>
      <c r="S33" s="57" t="s">
        <v>230</v>
      </c>
      <c r="T33" s="57" t="s">
        <v>272</v>
      </c>
      <c r="U33" s="57" t="s">
        <v>273</v>
      </c>
      <c r="V33" s="57" t="s">
        <v>274</v>
      </c>
      <c r="W33" s="57" t="s">
        <v>182</v>
      </c>
      <c r="X33" s="57" t="s">
        <v>183</v>
      </c>
      <c r="Y33" s="57" t="s">
        <v>228</v>
      </c>
      <c r="Z33" s="57" t="s">
        <v>166</v>
      </c>
      <c r="AA33" s="57" t="s">
        <v>167</v>
      </c>
      <c r="AB33" s="57" t="s">
        <v>168</v>
      </c>
      <c r="AC33" s="57" t="s">
        <v>251</v>
      </c>
    </row>
    <row r="34" spans="1:29" ht="18" x14ac:dyDescent="0.2">
      <c r="A34" s="25"/>
      <c r="B34" s="26"/>
      <c r="C34" s="22" t="s">
        <v>12</v>
      </c>
      <c r="D34" s="22" t="s">
        <v>12</v>
      </c>
      <c r="E34" s="22" t="s">
        <v>12</v>
      </c>
      <c r="F34" s="22" t="s">
        <v>12</v>
      </c>
      <c r="G34" s="22" t="s">
        <v>12</v>
      </c>
      <c r="H34" s="22" t="s">
        <v>12</v>
      </c>
      <c r="I34" s="22" t="s">
        <v>12</v>
      </c>
      <c r="J34" s="22" t="s">
        <v>12</v>
      </c>
      <c r="K34" s="22" t="s">
        <v>12</v>
      </c>
      <c r="L34" s="22" t="s">
        <v>12</v>
      </c>
      <c r="M34" s="22" t="s">
        <v>12</v>
      </c>
      <c r="N34" s="22" t="s">
        <v>12</v>
      </c>
      <c r="O34" s="22" t="s">
        <v>12</v>
      </c>
      <c r="P34" s="22" t="s">
        <v>12</v>
      </c>
      <c r="Q34" s="22" t="s">
        <v>12</v>
      </c>
      <c r="R34" s="22" t="s">
        <v>12</v>
      </c>
      <c r="S34" s="22" t="s">
        <v>12</v>
      </c>
      <c r="T34" s="22" t="s">
        <v>12</v>
      </c>
      <c r="U34" s="22" t="s">
        <v>12</v>
      </c>
      <c r="V34" s="22" t="s">
        <v>12</v>
      </c>
      <c r="W34" s="22" t="s">
        <v>12</v>
      </c>
      <c r="X34" s="22" t="s">
        <v>12</v>
      </c>
      <c r="Y34" s="22" t="s">
        <v>12</v>
      </c>
      <c r="Z34" s="22" t="s">
        <v>12</v>
      </c>
      <c r="AA34" s="22" t="s">
        <v>12</v>
      </c>
      <c r="AB34" s="22" t="s">
        <v>12</v>
      </c>
      <c r="AC34" s="22" t="s">
        <v>12</v>
      </c>
    </row>
    <row r="35" spans="1:29" ht="18.75" customHeight="1" x14ac:dyDescent="0.2">
      <c r="A35" s="70" t="s">
        <v>280</v>
      </c>
      <c r="B35" s="27" t="s">
        <v>5</v>
      </c>
      <c r="C35" s="28"/>
      <c r="D35" s="28"/>
      <c r="E35" s="28"/>
      <c r="F35" s="28"/>
      <c r="G35" s="29"/>
      <c r="H35" s="28"/>
      <c r="I35" s="28"/>
      <c r="J35" s="28"/>
      <c r="K35" s="29"/>
      <c r="L35" s="28"/>
      <c r="M35" s="28"/>
      <c r="N35" s="28"/>
      <c r="O35" s="29"/>
      <c r="P35" s="29"/>
      <c r="Q35" s="28"/>
      <c r="R35" s="28"/>
      <c r="S35" s="29" t="s">
        <v>60</v>
      </c>
      <c r="T35" s="29"/>
      <c r="U35" s="28"/>
      <c r="V35" s="28"/>
      <c r="W35" s="28"/>
      <c r="X35" s="28"/>
      <c r="Y35" s="29"/>
      <c r="Z35" s="28"/>
      <c r="AA35" s="28"/>
      <c r="AB35" s="22"/>
      <c r="AC35" s="29"/>
    </row>
    <row r="36" spans="1:29" ht="18" x14ac:dyDescent="0.2">
      <c r="A36" s="70"/>
      <c r="B36" s="27" t="s">
        <v>6</v>
      </c>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row>
    <row r="37" spans="1:29" ht="18" x14ac:dyDescent="0.2">
      <c r="A37" s="70"/>
      <c r="B37" s="27" t="s">
        <v>3</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row>
    <row r="38" spans="1:29" ht="18.75" customHeight="1" x14ac:dyDescent="0.2">
      <c r="A38" s="70" t="s">
        <v>279</v>
      </c>
      <c r="B38" s="27" t="s">
        <v>5</v>
      </c>
      <c r="C38" s="35"/>
      <c r="D38" s="28"/>
      <c r="E38" s="35"/>
      <c r="F38" s="35"/>
      <c r="G38" s="29"/>
      <c r="H38" s="28"/>
      <c r="I38" s="28"/>
      <c r="J38" s="28"/>
      <c r="K38" s="29"/>
      <c r="L38" s="28"/>
      <c r="M38" s="28"/>
      <c r="N38" s="28"/>
      <c r="O38" s="28"/>
      <c r="P38" s="29"/>
      <c r="Q38" s="28"/>
      <c r="R38" s="28"/>
      <c r="S38" s="29" t="s">
        <v>60</v>
      </c>
      <c r="T38" s="29"/>
      <c r="U38" s="28"/>
      <c r="V38" s="28"/>
      <c r="W38" s="28"/>
      <c r="X38" s="28"/>
      <c r="Y38" s="29"/>
      <c r="Z38" s="28"/>
      <c r="AA38" s="28"/>
      <c r="AB38" s="22"/>
      <c r="AC38" s="29"/>
    </row>
    <row r="39" spans="1:29" ht="18" x14ac:dyDescent="0.2">
      <c r="A39" s="70"/>
      <c r="B39" s="27" t="s">
        <v>6</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spans="1:29" ht="18" x14ac:dyDescent="0.2">
      <c r="A40" s="70"/>
      <c r="B40" s="27" t="s">
        <v>3</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row>
    <row r="41" spans="1:29" ht="18.75" customHeight="1" x14ac:dyDescent="0.2">
      <c r="A41" s="70"/>
      <c r="B41" s="27" t="s">
        <v>5</v>
      </c>
      <c r="C41" s="28"/>
      <c r="D41" s="28"/>
      <c r="E41" s="28"/>
      <c r="F41" s="28"/>
      <c r="G41" s="28"/>
      <c r="H41" s="28"/>
      <c r="I41" s="28"/>
      <c r="J41" s="28"/>
      <c r="K41" s="28"/>
      <c r="L41" s="28"/>
      <c r="M41" s="28"/>
      <c r="N41" s="28"/>
      <c r="O41" s="28"/>
      <c r="P41" s="28"/>
      <c r="Q41" s="28"/>
      <c r="R41" s="28"/>
      <c r="S41" s="28"/>
      <c r="T41" s="29"/>
      <c r="U41" s="29"/>
      <c r="V41" s="28"/>
      <c r="W41" s="28"/>
      <c r="X41" s="28"/>
      <c r="Y41" s="28"/>
      <c r="Z41" s="28"/>
      <c r="AA41" s="28"/>
      <c r="AB41" s="22"/>
      <c r="AC41" s="28"/>
    </row>
    <row r="42" spans="1:29" ht="18" x14ac:dyDescent="0.2">
      <c r="A42" s="70"/>
      <c r="B42" s="27" t="s">
        <v>6</v>
      </c>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row>
    <row r="43" spans="1:29" ht="18" x14ac:dyDescent="0.2">
      <c r="A43" s="70"/>
      <c r="B43" s="27" t="s">
        <v>3</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row>
    <row r="44" spans="1:29" ht="18" x14ac:dyDescent="0.2">
      <c r="A44" s="20" t="s">
        <v>0</v>
      </c>
      <c r="B44" s="21" t="s">
        <v>2</v>
      </c>
      <c r="C44" s="76" t="s">
        <v>13</v>
      </c>
      <c r="D44" s="76"/>
      <c r="E44" s="76"/>
      <c r="F44" s="76"/>
      <c r="G44" s="76"/>
      <c r="H44" s="76" t="s">
        <v>14</v>
      </c>
      <c r="I44" s="76"/>
      <c r="J44" s="76"/>
      <c r="K44" s="76"/>
      <c r="L44" s="76" t="s">
        <v>15</v>
      </c>
      <c r="M44" s="76"/>
      <c r="N44" s="76"/>
      <c r="O44" s="76"/>
      <c r="P44" s="76" t="s">
        <v>16</v>
      </c>
      <c r="Q44" s="76"/>
      <c r="R44" s="76"/>
      <c r="S44" s="76"/>
      <c r="T44" s="76"/>
      <c r="U44" s="76" t="s">
        <v>17</v>
      </c>
      <c r="V44" s="76"/>
      <c r="W44" s="76"/>
      <c r="X44" s="76"/>
      <c r="Y44" s="76" t="s">
        <v>18</v>
      </c>
      <c r="Z44" s="76"/>
      <c r="AA44" s="76"/>
      <c r="AB44" s="76"/>
      <c r="AC44" s="76"/>
    </row>
    <row r="45" spans="1:29" ht="18" x14ac:dyDescent="0.2">
      <c r="A45" s="20" t="s">
        <v>1</v>
      </c>
      <c r="B45" s="24" t="s">
        <v>3</v>
      </c>
      <c r="C45" s="35" t="s">
        <v>243</v>
      </c>
      <c r="D45" s="35" t="s">
        <v>207</v>
      </c>
      <c r="E45" s="35" t="s">
        <v>229</v>
      </c>
      <c r="F45" s="35" t="s">
        <v>230</v>
      </c>
      <c r="G45" s="35" t="s">
        <v>231</v>
      </c>
      <c r="H45" s="35" t="s">
        <v>164</v>
      </c>
      <c r="I45" s="35" t="s">
        <v>59</v>
      </c>
      <c r="J45" s="35" t="s">
        <v>58</v>
      </c>
      <c r="K45" s="35" t="s">
        <v>253</v>
      </c>
      <c r="L45" s="35" t="s">
        <v>245</v>
      </c>
      <c r="M45" s="35" t="s">
        <v>174</v>
      </c>
      <c r="N45" s="35" t="s">
        <v>180</v>
      </c>
      <c r="O45" s="35" t="s">
        <v>275</v>
      </c>
      <c r="P45" s="35" t="s">
        <v>248</v>
      </c>
      <c r="Q45" s="35" t="s">
        <v>175</v>
      </c>
      <c r="R45" s="35" t="s">
        <v>170</v>
      </c>
      <c r="S45" s="35" t="s">
        <v>171</v>
      </c>
      <c r="T45" s="35" t="s">
        <v>176</v>
      </c>
      <c r="U45" s="35" t="s">
        <v>177</v>
      </c>
      <c r="V45" s="35" t="s">
        <v>178</v>
      </c>
      <c r="W45" s="35" t="s">
        <v>179</v>
      </c>
      <c r="X45" s="35" t="s">
        <v>247</v>
      </c>
      <c r="Y45" s="35" t="s">
        <v>245</v>
      </c>
      <c r="Z45" s="35" t="s">
        <v>174</v>
      </c>
      <c r="AA45" s="35" t="s">
        <v>180</v>
      </c>
      <c r="AB45" s="35" t="s">
        <v>181</v>
      </c>
      <c r="AC45" s="35" t="s">
        <v>249</v>
      </c>
    </row>
    <row r="46" spans="1:29" ht="18" x14ac:dyDescent="0.2">
      <c r="A46" s="34"/>
      <c r="B46" s="26"/>
      <c r="C46" s="22" t="s">
        <v>12</v>
      </c>
      <c r="D46" s="22" t="s">
        <v>12</v>
      </c>
      <c r="E46" s="22" t="s">
        <v>12</v>
      </c>
      <c r="F46" s="22" t="s">
        <v>12</v>
      </c>
      <c r="G46" s="22" t="s">
        <v>12</v>
      </c>
      <c r="H46" s="22" t="s">
        <v>12</v>
      </c>
      <c r="I46" s="22" t="s">
        <v>12</v>
      </c>
      <c r="J46" s="22" t="s">
        <v>12</v>
      </c>
      <c r="K46" s="22" t="s">
        <v>12</v>
      </c>
      <c r="L46" s="22" t="s">
        <v>12</v>
      </c>
      <c r="M46" s="22" t="s">
        <v>12</v>
      </c>
      <c r="N46" s="22" t="s">
        <v>12</v>
      </c>
      <c r="O46" s="22" t="s">
        <v>12</v>
      </c>
      <c r="P46" s="22" t="s">
        <v>12</v>
      </c>
      <c r="Q46" s="22" t="s">
        <v>12</v>
      </c>
      <c r="R46" s="22" t="s">
        <v>12</v>
      </c>
      <c r="S46" s="22" t="s">
        <v>12</v>
      </c>
      <c r="T46" s="22" t="s">
        <v>12</v>
      </c>
      <c r="U46" s="22" t="s">
        <v>12</v>
      </c>
      <c r="V46" s="22" t="s">
        <v>12</v>
      </c>
      <c r="W46" s="22" t="s">
        <v>12</v>
      </c>
      <c r="X46" s="22" t="s">
        <v>12</v>
      </c>
      <c r="Y46" s="22" t="s">
        <v>12</v>
      </c>
      <c r="Z46" s="22" t="s">
        <v>12</v>
      </c>
      <c r="AA46" s="22" t="s">
        <v>12</v>
      </c>
      <c r="AB46" s="22" t="s">
        <v>12</v>
      </c>
      <c r="AC46" s="22" t="s">
        <v>12</v>
      </c>
    </row>
    <row r="47" spans="1:29" ht="18.75" customHeight="1" x14ac:dyDescent="0.2">
      <c r="A47" s="70" t="s">
        <v>280</v>
      </c>
      <c r="B47" s="27" t="s">
        <v>5</v>
      </c>
      <c r="C47" s="28"/>
      <c r="D47" s="28"/>
      <c r="E47" s="28"/>
      <c r="F47" s="28"/>
      <c r="G47" s="29"/>
      <c r="H47" s="28"/>
      <c r="I47" s="28"/>
      <c r="J47" s="28"/>
      <c r="K47" s="29"/>
      <c r="L47" s="28"/>
      <c r="M47" s="28"/>
      <c r="N47" s="28"/>
      <c r="O47" s="29"/>
      <c r="P47" s="28"/>
      <c r="Q47" s="28"/>
      <c r="R47" s="28"/>
      <c r="S47" s="28"/>
      <c r="T47" s="29" t="s">
        <v>60</v>
      </c>
      <c r="U47" s="28"/>
      <c r="V47" s="28"/>
      <c r="W47" s="28"/>
      <c r="X47" s="29"/>
      <c r="Y47" s="28"/>
      <c r="Z47" s="28"/>
      <c r="AA47" s="28"/>
      <c r="AB47" s="22"/>
      <c r="AC47" s="29"/>
    </row>
    <row r="48" spans="1:29" ht="18" x14ac:dyDescent="0.2">
      <c r="A48" s="70"/>
      <c r="B48" s="27" t="s">
        <v>6</v>
      </c>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row>
    <row r="49" spans="1:29" ht="18" x14ac:dyDescent="0.2">
      <c r="A49" s="70"/>
      <c r="B49" s="27" t="s">
        <v>3</v>
      </c>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spans="1:29" ht="18.75" customHeight="1" x14ac:dyDescent="0.2">
      <c r="A50" s="70" t="s">
        <v>279</v>
      </c>
      <c r="B50" s="27" t="s">
        <v>5</v>
      </c>
      <c r="C50" s="29"/>
      <c r="D50" s="28"/>
      <c r="E50" s="28"/>
      <c r="F50" s="35"/>
      <c r="G50" s="28"/>
      <c r="H50" s="28"/>
      <c r="I50" s="28"/>
      <c r="J50" s="28"/>
      <c r="K50" s="28"/>
      <c r="L50" s="28"/>
      <c r="M50" s="28"/>
      <c r="N50" s="28"/>
      <c r="O50" s="28"/>
      <c r="P50" s="28"/>
      <c r="Q50" s="28"/>
      <c r="R50" s="28"/>
      <c r="S50" s="28"/>
      <c r="T50" s="28"/>
      <c r="U50" s="28"/>
      <c r="V50" s="28"/>
      <c r="W50" s="28"/>
      <c r="X50" s="29"/>
      <c r="Y50" s="28"/>
      <c r="Z50" s="28"/>
      <c r="AA50" s="28"/>
      <c r="AB50" s="22"/>
      <c r="AC50" s="28"/>
    </row>
    <row r="51" spans="1:29" ht="18" x14ac:dyDescent="0.2">
      <c r="A51" s="70"/>
      <c r="B51" s="27" t="s">
        <v>6</v>
      </c>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row>
    <row r="52" spans="1:29" ht="18" x14ac:dyDescent="0.2">
      <c r="A52" s="70"/>
      <c r="B52" s="27" t="s">
        <v>3</v>
      </c>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row>
    <row r="53" spans="1:29" ht="18.75" customHeight="1" x14ac:dyDescent="0.2">
      <c r="A53" s="70"/>
      <c r="B53" s="27" t="s">
        <v>5</v>
      </c>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2"/>
      <c r="AC53" s="29"/>
    </row>
    <row r="54" spans="1:29" ht="18" x14ac:dyDescent="0.2">
      <c r="A54" s="70"/>
      <c r="B54" s="27" t="s">
        <v>6</v>
      </c>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row>
    <row r="55" spans="1:29" ht="18" x14ac:dyDescent="0.2">
      <c r="A55" s="70"/>
      <c r="B55" s="27" t="s">
        <v>3</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row>
    <row r="56" spans="1:29" ht="18" x14ac:dyDescent="0.4">
      <c r="A56" s="4" t="s">
        <v>219</v>
      </c>
      <c r="B56" s="4"/>
      <c r="C56" s="4"/>
      <c r="D56" s="4"/>
      <c r="E56" s="4"/>
      <c r="F56" s="4"/>
      <c r="G56" s="4"/>
      <c r="H56" s="4"/>
      <c r="I56" s="4"/>
      <c r="J56" s="4"/>
      <c r="K56" s="4"/>
      <c r="L56" s="4"/>
      <c r="M56" s="4"/>
      <c r="N56" s="4"/>
      <c r="O56" s="4"/>
      <c r="P56" s="4"/>
      <c r="Q56" s="4"/>
      <c r="R56" s="4"/>
      <c r="S56" s="4"/>
      <c r="T56" s="4"/>
      <c r="U56" s="4"/>
      <c r="V56" s="4"/>
      <c r="W56" s="71"/>
      <c r="X56" s="71"/>
      <c r="Y56" s="71"/>
      <c r="Z56" s="71"/>
      <c r="AA56" s="71"/>
      <c r="AB56" s="71"/>
      <c r="AC56" s="71"/>
    </row>
    <row r="57" spans="1:29" ht="18" x14ac:dyDescent="0.4">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row>
    <row r="58" spans="1:29" ht="18" x14ac:dyDescent="0.4">
      <c r="A58" s="9"/>
      <c r="B58" s="9"/>
      <c r="C58" s="9"/>
      <c r="D58" s="9"/>
      <c r="E58" s="9"/>
      <c r="F58" s="9"/>
      <c r="G58" s="9"/>
      <c r="H58" s="9"/>
      <c r="I58" s="9"/>
      <c r="J58" s="9"/>
      <c r="K58" s="9"/>
      <c r="L58" s="9"/>
      <c r="M58" s="9"/>
      <c r="N58" s="9"/>
      <c r="O58" s="9"/>
      <c r="P58" s="72" t="s">
        <v>28</v>
      </c>
      <c r="Q58" s="72"/>
      <c r="R58" s="73" t="s">
        <v>37</v>
      </c>
      <c r="S58" s="73"/>
      <c r="T58" s="73"/>
      <c r="U58" s="72" t="s">
        <v>30</v>
      </c>
      <c r="V58" s="72"/>
      <c r="W58" s="73" t="s">
        <v>38</v>
      </c>
      <c r="X58" s="73"/>
      <c r="Y58" s="73"/>
      <c r="Z58" s="8" t="s">
        <v>29</v>
      </c>
      <c r="AA58" s="74">
        <v>45748</v>
      </c>
      <c r="AB58" s="74"/>
      <c r="AC58" s="74"/>
    </row>
    <row r="59" spans="1:29" ht="23.25" x14ac:dyDescent="0.5">
      <c r="A59" s="80" t="s">
        <v>26</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row>
    <row r="60" spans="1:29" ht="21" x14ac:dyDescent="0.45">
      <c r="A60" s="6" t="s">
        <v>22</v>
      </c>
      <c r="B60" s="81" t="s">
        <v>269</v>
      </c>
      <c r="C60" s="81"/>
      <c r="D60" s="81"/>
      <c r="E60" s="81"/>
      <c r="F60" s="81"/>
      <c r="G60" s="81"/>
      <c r="H60" s="6" t="s">
        <v>24</v>
      </c>
      <c r="I60" s="84" t="s">
        <v>276</v>
      </c>
      <c r="J60" s="84"/>
      <c r="K60" s="84"/>
      <c r="L60" s="84"/>
      <c r="M60" s="83" t="s">
        <v>25</v>
      </c>
      <c r="N60" s="83"/>
      <c r="O60" s="81" t="s">
        <v>103</v>
      </c>
      <c r="P60" s="81"/>
      <c r="Q60" s="81"/>
      <c r="R60" s="81"/>
      <c r="S60" s="81"/>
      <c r="T60" s="6" t="s">
        <v>20</v>
      </c>
      <c r="U60" s="81">
        <v>2570</v>
      </c>
      <c r="V60" s="81"/>
      <c r="W60" s="83" t="s">
        <v>35</v>
      </c>
      <c r="X60" s="83"/>
      <c r="Y60" s="83"/>
      <c r="Z60" s="4" t="s">
        <v>282</v>
      </c>
      <c r="AA60" s="1"/>
      <c r="AB60" s="1"/>
      <c r="AC60" s="1"/>
    </row>
    <row r="61" spans="1:29" ht="18" x14ac:dyDescent="0.2">
      <c r="A61" s="20" t="s">
        <v>0</v>
      </c>
      <c r="B61" s="21" t="s">
        <v>2</v>
      </c>
      <c r="C61" s="75" t="s">
        <v>32</v>
      </c>
      <c r="D61" s="75"/>
      <c r="E61" s="75"/>
      <c r="F61" s="75"/>
      <c r="G61" s="75"/>
      <c r="H61" s="75" t="s">
        <v>7</v>
      </c>
      <c r="I61" s="75"/>
      <c r="J61" s="75"/>
      <c r="K61" s="75"/>
      <c r="L61" s="75" t="s">
        <v>8</v>
      </c>
      <c r="M61" s="75"/>
      <c r="N61" s="75"/>
      <c r="O61" s="75"/>
      <c r="P61" s="75"/>
      <c r="Q61" s="77" t="s">
        <v>9</v>
      </c>
      <c r="R61" s="78"/>
      <c r="S61" s="78"/>
      <c r="T61" s="78"/>
      <c r="U61" s="79"/>
      <c r="V61" s="77" t="s">
        <v>10</v>
      </c>
      <c r="W61" s="78"/>
      <c r="X61" s="78"/>
      <c r="Y61" s="79"/>
      <c r="Z61" s="75" t="s">
        <v>11</v>
      </c>
      <c r="AA61" s="75"/>
      <c r="AB61" s="75"/>
      <c r="AC61" s="75"/>
    </row>
    <row r="62" spans="1:29" ht="18" x14ac:dyDescent="0.2">
      <c r="A62" s="23" t="s">
        <v>1</v>
      </c>
      <c r="B62" s="24" t="s">
        <v>3</v>
      </c>
      <c r="C62" s="35" t="s">
        <v>273</v>
      </c>
      <c r="D62" s="35" t="s">
        <v>274</v>
      </c>
      <c r="E62" s="35" t="s">
        <v>182</v>
      </c>
      <c r="F62" s="35" t="s">
        <v>183</v>
      </c>
      <c r="G62" s="35" t="s">
        <v>228</v>
      </c>
      <c r="H62" s="35" t="s">
        <v>166</v>
      </c>
      <c r="I62" s="35" t="s">
        <v>167</v>
      </c>
      <c r="J62" s="35" t="s">
        <v>168</v>
      </c>
      <c r="K62" s="35" t="s">
        <v>169</v>
      </c>
      <c r="L62" s="35" t="s">
        <v>166</v>
      </c>
      <c r="M62" s="35" t="s">
        <v>167</v>
      </c>
      <c r="N62" s="35" t="s">
        <v>168</v>
      </c>
      <c r="O62" s="35" t="s">
        <v>169</v>
      </c>
      <c r="P62" s="35" t="s">
        <v>252</v>
      </c>
      <c r="Q62" s="35" t="s">
        <v>248</v>
      </c>
      <c r="R62" s="35" t="s">
        <v>175</v>
      </c>
      <c r="S62" s="35" t="s">
        <v>170</v>
      </c>
      <c r="T62" s="35" t="s">
        <v>171</v>
      </c>
      <c r="U62" s="35" t="s">
        <v>277</v>
      </c>
      <c r="V62" s="35" t="s">
        <v>164</v>
      </c>
      <c r="W62" s="35" t="s">
        <v>59</v>
      </c>
      <c r="X62" s="35" t="s">
        <v>58</v>
      </c>
      <c r="Y62" s="35" t="s">
        <v>253</v>
      </c>
      <c r="Z62" s="35" t="s">
        <v>245</v>
      </c>
      <c r="AA62" s="35" t="s">
        <v>174</v>
      </c>
      <c r="AB62" s="35" t="s">
        <v>180</v>
      </c>
      <c r="AC62" s="35" t="s">
        <v>275</v>
      </c>
    </row>
    <row r="63" spans="1:29" ht="18" x14ac:dyDescent="0.2">
      <c r="A63" s="25"/>
      <c r="B63" s="26"/>
      <c r="C63" s="22" t="s">
        <v>12</v>
      </c>
      <c r="D63" s="22" t="s">
        <v>12</v>
      </c>
      <c r="E63" s="22" t="s">
        <v>12</v>
      </c>
      <c r="F63" s="22" t="s">
        <v>12</v>
      </c>
      <c r="G63" s="22" t="s">
        <v>12</v>
      </c>
      <c r="H63" s="22" t="s">
        <v>12</v>
      </c>
      <c r="I63" s="22" t="s">
        <v>12</v>
      </c>
      <c r="J63" s="22" t="s">
        <v>12</v>
      </c>
      <c r="K63" s="22" t="s">
        <v>12</v>
      </c>
      <c r="L63" s="22" t="s">
        <v>12</v>
      </c>
      <c r="M63" s="22" t="s">
        <v>12</v>
      </c>
      <c r="N63" s="22" t="s">
        <v>12</v>
      </c>
      <c r="O63" s="22" t="s">
        <v>12</v>
      </c>
      <c r="P63" s="22" t="s">
        <v>12</v>
      </c>
      <c r="Q63" s="22" t="s">
        <v>12</v>
      </c>
      <c r="R63" s="22" t="s">
        <v>12</v>
      </c>
      <c r="S63" s="22" t="s">
        <v>12</v>
      </c>
      <c r="T63" s="22" t="s">
        <v>12</v>
      </c>
      <c r="U63" s="22" t="s">
        <v>12</v>
      </c>
      <c r="V63" s="22" t="s">
        <v>12</v>
      </c>
      <c r="W63" s="22" t="s">
        <v>12</v>
      </c>
      <c r="X63" s="22" t="s">
        <v>12</v>
      </c>
      <c r="Y63" s="22" t="s">
        <v>12</v>
      </c>
      <c r="Z63" s="22" t="s">
        <v>12</v>
      </c>
      <c r="AA63" s="22" t="s">
        <v>12</v>
      </c>
      <c r="AB63" s="22" t="s">
        <v>12</v>
      </c>
      <c r="AC63" s="22" t="s">
        <v>12</v>
      </c>
    </row>
    <row r="64" spans="1:29" ht="18.75" customHeight="1" x14ac:dyDescent="0.2">
      <c r="A64" s="70" t="s">
        <v>280</v>
      </c>
      <c r="B64" s="27" t="s">
        <v>5</v>
      </c>
      <c r="C64" s="28"/>
      <c r="D64" s="28"/>
      <c r="E64" s="28"/>
      <c r="F64" s="28"/>
      <c r="G64" s="29"/>
      <c r="H64" s="28"/>
      <c r="I64" s="28"/>
      <c r="J64" s="28"/>
      <c r="K64" s="29"/>
      <c r="L64" s="28"/>
      <c r="M64" s="28"/>
      <c r="N64" s="28"/>
      <c r="O64" s="29"/>
      <c r="P64" s="29"/>
      <c r="Q64" s="28"/>
      <c r="R64" s="28"/>
      <c r="S64" s="28"/>
      <c r="T64" s="29"/>
      <c r="U64" s="29" t="s">
        <v>60</v>
      </c>
      <c r="V64" s="28"/>
      <c r="W64" s="28"/>
      <c r="X64" s="28"/>
      <c r="Y64" s="29"/>
      <c r="Z64" s="28"/>
      <c r="AA64" s="28"/>
      <c r="AB64" s="22"/>
      <c r="AC64" s="29"/>
    </row>
    <row r="65" spans="1:29" ht="18" x14ac:dyDescent="0.2">
      <c r="A65" s="70"/>
      <c r="B65" s="27" t="s">
        <v>6</v>
      </c>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row>
    <row r="66" spans="1:29" ht="18" x14ac:dyDescent="0.2">
      <c r="A66" s="70"/>
      <c r="B66" s="27" t="s">
        <v>3</v>
      </c>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row>
    <row r="67" spans="1:29" ht="18.75" customHeight="1" x14ac:dyDescent="0.2">
      <c r="A67" s="70" t="s">
        <v>279</v>
      </c>
      <c r="B67" s="27" t="s">
        <v>5</v>
      </c>
      <c r="C67" s="35"/>
      <c r="D67" s="28"/>
      <c r="E67" s="35"/>
      <c r="F67" s="35"/>
      <c r="G67" s="29"/>
      <c r="H67" s="28"/>
      <c r="I67" s="28"/>
      <c r="J67" s="28"/>
      <c r="K67" s="29"/>
      <c r="L67" s="28"/>
      <c r="M67" s="28"/>
      <c r="N67" s="28"/>
      <c r="O67" s="28"/>
      <c r="P67" s="29"/>
      <c r="Q67" s="28"/>
      <c r="R67" s="28"/>
      <c r="S67" s="28"/>
      <c r="T67" s="29"/>
      <c r="U67" s="29" t="s">
        <v>60</v>
      </c>
      <c r="V67" s="28"/>
      <c r="W67" s="28"/>
      <c r="X67" s="28"/>
      <c r="Y67" s="29"/>
      <c r="Z67" s="28"/>
      <c r="AA67" s="28"/>
      <c r="AB67" s="22"/>
      <c r="AC67" s="29"/>
    </row>
    <row r="68" spans="1:29" ht="18" x14ac:dyDescent="0.2">
      <c r="A68" s="70"/>
      <c r="B68" s="27" t="s">
        <v>6</v>
      </c>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spans="1:29" ht="18" x14ac:dyDescent="0.2">
      <c r="A69" s="70"/>
      <c r="B69" s="27" t="s">
        <v>3</v>
      </c>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row>
    <row r="70" spans="1:29" ht="18.75" customHeight="1" x14ac:dyDescent="0.2">
      <c r="A70" s="70"/>
      <c r="B70" s="27" t="s">
        <v>5</v>
      </c>
      <c r="C70" s="28"/>
      <c r="D70" s="28"/>
      <c r="E70" s="28"/>
      <c r="F70" s="28"/>
      <c r="G70" s="28"/>
      <c r="H70" s="28"/>
      <c r="I70" s="28"/>
      <c r="J70" s="28"/>
      <c r="K70" s="28"/>
      <c r="L70" s="28"/>
      <c r="M70" s="28"/>
      <c r="N70" s="28"/>
      <c r="O70" s="28"/>
      <c r="P70" s="28"/>
      <c r="Q70" s="28"/>
      <c r="R70" s="28"/>
      <c r="S70" s="28"/>
      <c r="T70" s="29"/>
      <c r="U70" s="29"/>
      <c r="V70" s="28"/>
      <c r="W70" s="28"/>
      <c r="X70" s="28"/>
      <c r="Y70" s="28"/>
      <c r="Z70" s="28"/>
      <c r="AA70" s="28"/>
      <c r="AB70" s="22"/>
      <c r="AC70" s="28"/>
    </row>
    <row r="71" spans="1:29" ht="18" x14ac:dyDescent="0.2">
      <c r="A71" s="70"/>
      <c r="B71" s="27" t="s">
        <v>6</v>
      </c>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spans="1:29" ht="18" x14ac:dyDescent="0.2">
      <c r="A72" s="70"/>
      <c r="B72" s="27" t="s">
        <v>3</v>
      </c>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row>
    <row r="73" spans="1:29" ht="18" x14ac:dyDescent="0.2">
      <c r="A73" s="20" t="s">
        <v>0</v>
      </c>
      <c r="B73" s="21" t="s">
        <v>2</v>
      </c>
      <c r="C73" s="76" t="s">
        <v>13</v>
      </c>
      <c r="D73" s="76"/>
      <c r="E73" s="76"/>
      <c r="F73" s="76"/>
      <c r="G73" s="76"/>
      <c r="H73" s="76" t="s">
        <v>14</v>
      </c>
      <c r="I73" s="76"/>
      <c r="J73" s="76"/>
      <c r="K73" s="76"/>
      <c r="L73" s="85" t="s">
        <v>15</v>
      </c>
      <c r="M73" s="86"/>
      <c r="N73" s="86"/>
      <c r="O73" s="86"/>
      <c r="P73" s="87"/>
      <c r="Q73" s="85" t="s">
        <v>16</v>
      </c>
      <c r="R73" s="86"/>
      <c r="S73" s="86"/>
      <c r="T73" s="87"/>
      <c r="U73" s="76" t="s">
        <v>17</v>
      </c>
      <c r="V73" s="76"/>
      <c r="W73" s="76"/>
      <c r="X73" s="76"/>
      <c r="Y73" s="76" t="s">
        <v>18</v>
      </c>
      <c r="Z73" s="76"/>
      <c r="AA73" s="76"/>
      <c r="AB73" s="76"/>
      <c r="AC73" s="76"/>
    </row>
    <row r="74" spans="1:29" ht="18" x14ac:dyDescent="0.2">
      <c r="A74" s="20" t="s">
        <v>1</v>
      </c>
      <c r="B74" s="24" t="s">
        <v>3</v>
      </c>
      <c r="C74" s="35" t="s">
        <v>248</v>
      </c>
      <c r="D74" s="35" t="s">
        <v>175</v>
      </c>
      <c r="E74" s="35" t="s">
        <v>170</v>
      </c>
      <c r="F74" s="35" t="s">
        <v>171</v>
      </c>
      <c r="G74" s="35" t="s">
        <v>176</v>
      </c>
      <c r="H74" s="35" t="s">
        <v>177</v>
      </c>
      <c r="I74" s="35" t="s">
        <v>178</v>
      </c>
      <c r="J74" s="35" t="s">
        <v>179</v>
      </c>
      <c r="K74" s="35" t="s">
        <v>271</v>
      </c>
      <c r="L74" s="35" t="s">
        <v>278</v>
      </c>
      <c r="M74" s="35" t="s">
        <v>207</v>
      </c>
      <c r="N74" s="35" t="s">
        <v>229</v>
      </c>
      <c r="O74" s="35" t="s">
        <v>230</v>
      </c>
      <c r="P74" s="35" t="s">
        <v>272</v>
      </c>
      <c r="Q74" s="35" t="s">
        <v>250</v>
      </c>
      <c r="R74" s="35" t="s">
        <v>182</v>
      </c>
      <c r="S74" s="35" t="s">
        <v>183</v>
      </c>
      <c r="T74" s="35" t="s">
        <v>228</v>
      </c>
      <c r="U74" s="35" t="s">
        <v>166</v>
      </c>
      <c r="V74" s="35" t="s">
        <v>167</v>
      </c>
      <c r="W74" s="35" t="s">
        <v>168</v>
      </c>
      <c r="X74" s="35" t="s">
        <v>251</v>
      </c>
      <c r="Y74" s="35" t="s">
        <v>243</v>
      </c>
      <c r="Z74" s="35" t="s">
        <v>207</v>
      </c>
      <c r="AA74" s="35" t="s">
        <v>229</v>
      </c>
      <c r="AB74" s="35" t="s">
        <v>230</v>
      </c>
      <c r="AC74" s="35" t="s">
        <v>231</v>
      </c>
    </row>
    <row r="75" spans="1:29" ht="18" x14ac:dyDescent="0.2">
      <c r="A75" s="34"/>
      <c r="B75" s="26"/>
      <c r="C75" s="22" t="s">
        <v>12</v>
      </c>
      <c r="D75" s="22" t="s">
        <v>12</v>
      </c>
      <c r="E75" s="22" t="s">
        <v>12</v>
      </c>
      <c r="F75" s="22" t="s">
        <v>12</v>
      </c>
      <c r="G75" s="22" t="s">
        <v>12</v>
      </c>
      <c r="H75" s="22" t="s">
        <v>12</v>
      </c>
      <c r="I75" s="22" t="s">
        <v>12</v>
      </c>
      <c r="J75" s="22" t="s">
        <v>12</v>
      </c>
      <c r="K75" s="22" t="s">
        <v>12</v>
      </c>
      <c r="L75" s="22" t="s">
        <v>12</v>
      </c>
      <c r="M75" s="22" t="s">
        <v>12</v>
      </c>
      <c r="N75" s="22" t="s">
        <v>12</v>
      </c>
      <c r="O75" s="22" t="s">
        <v>12</v>
      </c>
      <c r="P75" s="22" t="s">
        <v>12</v>
      </c>
      <c r="Q75" s="22" t="s">
        <v>12</v>
      </c>
      <c r="R75" s="22" t="s">
        <v>12</v>
      </c>
      <c r="S75" s="22" t="s">
        <v>12</v>
      </c>
      <c r="T75" s="22" t="s">
        <v>12</v>
      </c>
      <c r="U75" s="22" t="s">
        <v>12</v>
      </c>
      <c r="V75" s="22" t="s">
        <v>12</v>
      </c>
      <c r="W75" s="22" t="s">
        <v>12</v>
      </c>
      <c r="X75" s="22" t="s">
        <v>12</v>
      </c>
      <c r="Y75" s="22" t="s">
        <v>12</v>
      </c>
      <c r="Z75" s="22" t="s">
        <v>12</v>
      </c>
      <c r="AA75" s="22" t="s">
        <v>12</v>
      </c>
      <c r="AB75" s="22" t="s">
        <v>12</v>
      </c>
      <c r="AC75" s="22" t="s">
        <v>12</v>
      </c>
    </row>
    <row r="76" spans="1:29" ht="18.75" customHeight="1" x14ac:dyDescent="0.2">
      <c r="A76" s="70" t="s">
        <v>280</v>
      </c>
      <c r="B76" s="27" t="s">
        <v>5</v>
      </c>
      <c r="C76" s="28"/>
      <c r="D76" s="28"/>
      <c r="E76" s="28"/>
      <c r="F76" s="28"/>
      <c r="G76" s="29"/>
      <c r="H76" s="28"/>
      <c r="I76" s="28"/>
      <c r="J76" s="28"/>
      <c r="K76" s="29"/>
      <c r="L76" s="28"/>
      <c r="M76" s="28"/>
      <c r="N76" s="28"/>
      <c r="O76" s="29"/>
      <c r="P76" s="28"/>
      <c r="Q76" s="28"/>
      <c r="R76" s="28"/>
      <c r="S76" s="28"/>
      <c r="T76" s="29" t="s">
        <v>60</v>
      </c>
      <c r="U76" s="28"/>
      <c r="V76" s="28"/>
      <c r="W76" s="28"/>
      <c r="X76" s="29"/>
      <c r="Y76" s="28"/>
      <c r="Z76" s="28"/>
      <c r="AA76" s="28"/>
      <c r="AB76" s="22"/>
      <c r="AC76" s="29"/>
    </row>
    <row r="77" spans="1:29" ht="18" x14ac:dyDescent="0.2">
      <c r="A77" s="70"/>
      <c r="B77" s="27" t="s">
        <v>6</v>
      </c>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row>
    <row r="78" spans="1:29" ht="18" x14ac:dyDescent="0.2">
      <c r="A78" s="70"/>
      <c r="B78" s="27" t="s">
        <v>3</v>
      </c>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row>
    <row r="79" spans="1:29" ht="18.75" customHeight="1" x14ac:dyDescent="0.2">
      <c r="A79" s="70" t="s">
        <v>279</v>
      </c>
      <c r="B79" s="27" t="s">
        <v>5</v>
      </c>
      <c r="C79" s="29"/>
      <c r="D79" s="28"/>
      <c r="E79" s="28"/>
      <c r="F79" s="35"/>
      <c r="G79" s="28"/>
      <c r="H79" s="28"/>
      <c r="I79" s="28"/>
      <c r="J79" s="28"/>
      <c r="K79" s="28"/>
      <c r="L79" s="28"/>
      <c r="M79" s="28"/>
      <c r="N79" s="28"/>
      <c r="O79" s="28"/>
      <c r="P79" s="28"/>
      <c r="Q79" s="28"/>
      <c r="R79" s="28"/>
      <c r="S79" s="28"/>
      <c r="T79" s="28"/>
      <c r="U79" s="28"/>
      <c r="V79" s="28"/>
      <c r="W79" s="28"/>
      <c r="X79" s="29"/>
      <c r="Y79" s="28"/>
      <c r="Z79" s="28"/>
      <c r="AA79" s="28"/>
      <c r="AB79" s="22"/>
      <c r="AC79" s="28"/>
    </row>
    <row r="80" spans="1:29" ht="18" x14ac:dyDescent="0.2">
      <c r="A80" s="70"/>
      <c r="B80" s="27" t="s">
        <v>6</v>
      </c>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row>
    <row r="81" spans="1:29" ht="18" x14ac:dyDescent="0.2">
      <c r="A81" s="70"/>
      <c r="B81" s="27" t="s">
        <v>3</v>
      </c>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row>
    <row r="82" spans="1:29" ht="18.75" customHeight="1" x14ac:dyDescent="0.2">
      <c r="A82" s="70"/>
      <c r="B82" s="27" t="s">
        <v>5</v>
      </c>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2"/>
      <c r="AC82" s="29"/>
    </row>
    <row r="83" spans="1:29" ht="18" x14ac:dyDescent="0.2">
      <c r="A83" s="70"/>
      <c r="B83" s="27" t="s">
        <v>6</v>
      </c>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row>
    <row r="84" spans="1:29" ht="18" x14ac:dyDescent="0.2">
      <c r="A84" s="70"/>
      <c r="B84" s="27" t="s">
        <v>3</v>
      </c>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row>
    <row r="85" spans="1:29" ht="18" x14ac:dyDescent="0.4">
      <c r="A85" s="4" t="s">
        <v>219</v>
      </c>
      <c r="B85" s="4"/>
      <c r="C85" s="4"/>
      <c r="D85" s="4"/>
      <c r="E85" s="4"/>
      <c r="F85" s="4"/>
      <c r="G85" s="4"/>
      <c r="H85" s="4"/>
      <c r="I85" s="4"/>
      <c r="J85" s="4"/>
      <c r="K85" s="4"/>
      <c r="L85" s="4"/>
      <c r="M85" s="4"/>
      <c r="N85" s="4"/>
      <c r="O85" s="4"/>
      <c r="P85" s="4"/>
      <c r="Q85" s="4"/>
      <c r="R85" s="4"/>
      <c r="S85" s="4"/>
      <c r="T85" s="4"/>
      <c r="U85" s="4"/>
      <c r="V85" s="4"/>
      <c r="W85" s="71"/>
      <c r="X85" s="71"/>
      <c r="Y85" s="71"/>
      <c r="Z85" s="71"/>
      <c r="AA85" s="71"/>
      <c r="AB85" s="71"/>
      <c r="AC85" s="71"/>
    </row>
    <row r="86" spans="1:29" ht="18" x14ac:dyDescent="0.4">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row>
    <row r="87" spans="1:29" ht="18" x14ac:dyDescent="0.4">
      <c r="A87" s="9"/>
      <c r="B87" s="9"/>
      <c r="C87" s="9"/>
      <c r="D87" s="9"/>
      <c r="E87" s="9"/>
      <c r="F87" s="9"/>
      <c r="G87" s="9"/>
      <c r="H87" s="9"/>
      <c r="I87" s="9"/>
      <c r="J87" s="9"/>
      <c r="K87" s="9"/>
      <c r="L87" s="9"/>
      <c r="M87" s="9"/>
      <c r="N87" s="9"/>
      <c r="O87" s="9"/>
      <c r="P87" s="72" t="s">
        <v>28</v>
      </c>
      <c r="Q87" s="72"/>
      <c r="R87" s="73" t="s">
        <v>37</v>
      </c>
      <c r="S87" s="73"/>
      <c r="T87" s="73"/>
      <c r="U87" s="72" t="s">
        <v>30</v>
      </c>
      <c r="V87" s="72"/>
      <c r="W87" s="73" t="s">
        <v>38</v>
      </c>
      <c r="X87" s="73"/>
      <c r="Y87" s="73"/>
      <c r="Z87" s="8" t="s">
        <v>29</v>
      </c>
      <c r="AA87" s="74">
        <f>AA58</f>
        <v>45748</v>
      </c>
      <c r="AB87" s="74"/>
      <c r="AC87" s="74"/>
    </row>
    <row r="88" spans="1:29" ht="18" customHeight="1" x14ac:dyDescent="0.2"/>
    <row r="89" spans="1:29" ht="18" customHeight="1" x14ac:dyDescent="0.2"/>
    <row r="90" spans="1:29" ht="18" customHeight="1" x14ac:dyDescent="0.2"/>
  </sheetData>
  <mergeCells count="93">
    <mergeCell ref="W85:AC85"/>
    <mergeCell ref="P87:Q87"/>
    <mergeCell ref="R87:T87"/>
    <mergeCell ref="U87:V87"/>
    <mergeCell ref="W87:Y87"/>
    <mergeCell ref="AA87:AC87"/>
    <mergeCell ref="U73:X73"/>
    <mergeCell ref="Y73:AC73"/>
    <mergeCell ref="A76:A78"/>
    <mergeCell ref="A79:A81"/>
    <mergeCell ref="A82:A84"/>
    <mergeCell ref="L73:P73"/>
    <mergeCell ref="Q73:T73"/>
    <mergeCell ref="A64:A66"/>
    <mergeCell ref="A67:A69"/>
    <mergeCell ref="A70:A72"/>
    <mergeCell ref="C73:G73"/>
    <mergeCell ref="H73:K73"/>
    <mergeCell ref="C61:G61"/>
    <mergeCell ref="H61:K61"/>
    <mergeCell ref="Z61:AC61"/>
    <mergeCell ref="L61:P61"/>
    <mergeCell ref="V61:Y61"/>
    <mergeCell ref="Q61:U61"/>
    <mergeCell ref="A59:AC59"/>
    <mergeCell ref="B60:G60"/>
    <mergeCell ref="I60:L60"/>
    <mergeCell ref="M60:N60"/>
    <mergeCell ref="O60:S60"/>
    <mergeCell ref="U60:V60"/>
    <mergeCell ref="W60:Y60"/>
    <mergeCell ref="W56:AC56"/>
    <mergeCell ref="P58:Q58"/>
    <mergeCell ref="R58:T58"/>
    <mergeCell ref="U58:V58"/>
    <mergeCell ref="W58:Y58"/>
    <mergeCell ref="AA58:AC58"/>
    <mergeCell ref="P44:T44"/>
    <mergeCell ref="U44:X44"/>
    <mergeCell ref="Y44:AC44"/>
    <mergeCell ref="A47:A49"/>
    <mergeCell ref="A50:A52"/>
    <mergeCell ref="H44:K44"/>
    <mergeCell ref="L44:O44"/>
    <mergeCell ref="A53:A55"/>
    <mergeCell ref="A35:A37"/>
    <mergeCell ref="A38:A40"/>
    <mergeCell ref="A41:A43"/>
    <mergeCell ref="C44:G44"/>
    <mergeCell ref="Z32:AC32"/>
    <mergeCell ref="A30:AC30"/>
    <mergeCell ref="B31:G31"/>
    <mergeCell ref="I31:L31"/>
    <mergeCell ref="M31:N31"/>
    <mergeCell ref="O31:S31"/>
    <mergeCell ref="U31:V31"/>
    <mergeCell ref="W31:Y31"/>
    <mergeCell ref="C32:G32"/>
    <mergeCell ref="H32:K32"/>
    <mergeCell ref="L32:O32"/>
    <mergeCell ref="P32:T32"/>
    <mergeCell ref="U32:Y32"/>
    <mergeCell ref="A1:AC1"/>
    <mergeCell ref="B2:G2"/>
    <mergeCell ref="I2:L2"/>
    <mergeCell ref="M2:N2"/>
    <mergeCell ref="O2:S2"/>
    <mergeCell ref="U2:V2"/>
    <mergeCell ref="W2:Y2"/>
    <mergeCell ref="Z3:AC3"/>
    <mergeCell ref="A6:A8"/>
    <mergeCell ref="A9:A11"/>
    <mergeCell ref="A12:A14"/>
    <mergeCell ref="C15:G15"/>
    <mergeCell ref="H15:K15"/>
    <mergeCell ref="L15:O15"/>
    <mergeCell ref="P15:T15"/>
    <mergeCell ref="U15:X15"/>
    <mergeCell ref="Y15:AC15"/>
    <mergeCell ref="C3:G3"/>
    <mergeCell ref="H3:K3"/>
    <mergeCell ref="L3:O3"/>
    <mergeCell ref="P3:T3"/>
    <mergeCell ref="U3:Y3"/>
    <mergeCell ref="A18:A20"/>
    <mergeCell ref="A21:A23"/>
    <mergeCell ref="A24:A26"/>
    <mergeCell ref="W27:AC27"/>
    <mergeCell ref="P29:Q29"/>
    <mergeCell ref="R29:T29"/>
    <mergeCell ref="U29:V29"/>
    <mergeCell ref="W29:Y29"/>
    <mergeCell ref="AA29:AC29"/>
  </mergeCells>
  <pageMargins left="0.27559055118110237" right="0.27559055118110237" top="0.23622047244094491" bottom="0.39370078740157483" header="0.23622047244094491" footer="0.15748031496062992"/>
  <pageSetup paperSize="9" scale="99" orientation="landscape" r:id="rId1"/>
  <headerFooter>
    <oddFooter>&amp;L&amp;"Angsana New,Regular"&amp;10แบบฟอร์มเลขที่ BWI 021/003&amp;R&amp;"Angsana New,Regular"&amp;10                แก้ไขครั้งที่ 01/0150</oddFooter>
  </headerFooter>
  <rowBreaks count="2" manualBreakCount="2">
    <brk id="29" max="16383" man="1"/>
    <brk id="5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CB86-A106-475C-8229-1BF2F6FAEE54}">
  <sheetPr>
    <pageSetUpPr fitToPage="1"/>
  </sheetPr>
  <dimension ref="A1:AE989"/>
  <sheetViews>
    <sheetView view="pageBreakPreview" topLeftCell="A32" zoomScale="115" zoomScaleNormal="100" zoomScaleSheetLayoutView="115" workbookViewId="0">
      <selection activeCell="X36" sqref="X36"/>
    </sheetView>
  </sheetViews>
  <sheetFormatPr defaultColWidth="9.125" defaultRowHeight="14.25" x14ac:dyDescent="0.2"/>
  <cols>
    <col min="1" max="1" width="16.125" customWidth="1"/>
    <col min="2" max="2" width="6" bestFit="1" customWidth="1"/>
    <col min="3" max="3" width="4.375" bestFit="1" customWidth="1"/>
    <col min="4" max="4" width="5.625" bestFit="1" customWidth="1"/>
    <col min="5" max="23" width="4.375" bestFit="1" customWidth="1"/>
    <col min="24" max="24" width="4.875" bestFit="1" customWidth="1"/>
    <col min="25" max="29" width="4.375" bestFit="1" customWidth="1"/>
    <col min="30" max="31" width="9.75" bestFit="1" customWidth="1"/>
  </cols>
  <sheetData>
    <row r="1" spans="1:29" ht="23.25" x14ac:dyDescent="0.5">
      <c r="A1" s="80" t="s">
        <v>26</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row>
    <row r="2" spans="1:29" s="1" customFormat="1" ht="21" x14ac:dyDescent="0.45">
      <c r="A2" s="6" t="s">
        <v>22</v>
      </c>
      <c r="B2" s="81" t="s">
        <v>23</v>
      </c>
      <c r="C2" s="81"/>
      <c r="D2" s="81"/>
      <c r="E2" s="81"/>
      <c r="F2" s="81"/>
      <c r="G2" s="81"/>
      <c r="H2" s="6" t="s">
        <v>24</v>
      </c>
      <c r="I2" s="81" t="s">
        <v>27</v>
      </c>
      <c r="J2" s="81"/>
      <c r="K2" s="81"/>
      <c r="L2" s="81"/>
      <c r="M2" s="83" t="s">
        <v>25</v>
      </c>
      <c r="N2" s="83"/>
      <c r="O2" s="81" t="s">
        <v>19</v>
      </c>
      <c r="P2" s="81"/>
      <c r="Q2" s="81"/>
      <c r="R2" s="81"/>
      <c r="S2" s="81"/>
      <c r="T2" s="6" t="s">
        <v>20</v>
      </c>
      <c r="U2" s="81">
        <v>2569</v>
      </c>
      <c r="V2" s="81"/>
      <c r="W2" s="83" t="s">
        <v>35</v>
      </c>
      <c r="X2" s="83"/>
      <c r="Y2" s="83"/>
      <c r="Z2" s="1" t="s">
        <v>242</v>
      </c>
    </row>
    <row r="3" spans="1:29" s="2" customFormat="1" ht="18" x14ac:dyDescent="0.2">
      <c r="A3" s="20" t="s">
        <v>0</v>
      </c>
      <c r="B3" s="21" t="s">
        <v>2</v>
      </c>
      <c r="C3" s="75" t="s">
        <v>32</v>
      </c>
      <c r="D3" s="75"/>
      <c r="E3" s="75"/>
      <c r="F3" s="75"/>
      <c r="G3" s="75"/>
      <c r="H3" s="75" t="s">
        <v>7</v>
      </c>
      <c r="I3" s="75"/>
      <c r="J3" s="75"/>
      <c r="K3" s="75"/>
      <c r="L3" s="77" t="s">
        <v>8</v>
      </c>
      <c r="M3" s="78"/>
      <c r="N3" s="78"/>
      <c r="O3" s="79"/>
      <c r="P3" s="77" t="s">
        <v>9</v>
      </c>
      <c r="Q3" s="78"/>
      <c r="R3" s="78"/>
      <c r="S3" s="78"/>
      <c r="T3" s="79"/>
      <c r="U3" s="75" t="s">
        <v>10</v>
      </c>
      <c r="V3" s="75"/>
      <c r="W3" s="75"/>
      <c r="X3" s="75"/>
      <c r="Y3" s="75"/>
      <c r="Z3" s="75" t="s">
        <v>11</v>
      </c>
      <c r="AA3" s="75"/>
      <c r="AB3" s="75"/>
      <c r="AC3" s="75"/>
    </row>
    <row r="4" spans="1:29" s="3" customFormat="1" ht="18" x14ac:dyDescent="0.2">
      <c r="A4" s="23" t="s">
        <v>1</v>
      </c>
      <c r="B4" s="24" t="s">
        <v>3</v>
      </c>
      <c r="C4" s="28" t="s">
        <v>243</v>
      </c>
      <c r="D4" s="28" t="s">
        <v>207</v>
      </c>
      <c r="E4" s="28" t="s">
        <v>229</v>
      </c>
      <c r="F4" s="28" t="s">
        <v>230</v>
      </c>
      <c r="G4" s="28" t="s">
        <v>231</v>
      </c>
      <c r="H4" s="28" t="s">
        <v>164</v>
      </c>
      <c r="I4" s="28" t="s">
        <v>59</v>
      </c>
      <c r="J4" s="28" t="s">
        <v>58</v>
      </c>
      <c r="K4" s="28" t="s">
        <v>244</v>
      </c>
      <c r="L4" s="28" t="s">
        <v>164</v>
      </c>
      <c r="M4" s="28" t="s">
        <v>59</v>
      </c>
      <c r="N4" s="28" t="s">
        <v>58</v>
      </c>
      <c r="O4" s="28" t="s">
        <v>253</v>
      </c>
      <c r="P4" s="28" t="s">
        <v>245</v>
      </c>
      <c r="Q4" s="28" t="s">
        <v>174</v>
      </c>
      <c r="R4" s="28" t="s">
        <v>180</v>
      </c>
      <c r="S4" s="28" t="s">
        <v>181</v>
      </c>
      <c r="T4" s="28" t="s">
        <v>246</v>
      </c>
      <c r="U4" s="28" t="s">
        <v>248</v>
      </c>
      <c r="V4" s="28" t="s">
        <v>175</v>
      </c>
      <c r="W4" s="28" t="s">
        <v>170</v>
      </c>
      <c r="X4" s="28" t="s">
        <v>171</v>
      </c>
      <c r="Y4" s="28" t="s">
        <v>176</v>
      </c>
      <c r="Z4" s="28" t="s">
        <v>177</v>
      </c>
      <c r="AA4" s="28" t="s">
        <v>178</v>
      </c>
      <c r="AB4" s="28" t="s">
        <v>179</v>
      </c>
      <c r="AC4" s="28" t="s">
        <v>247</v>
      </c>
    </row>
    <row r="5" spans="1:29" s="2" customFormat="1" ht="18" x14ac:dyDescent="0.2">
      <c r="A5" s="25"/>
      <c r="B5" s="26" t="s">
        <v>4</v>
      </c>
      <c r="C5" s="22" t="s">
        <v>12</v>
      </c>
      <c r="D5" s="31" t="s">
        <v>12</v>
      </c>
      <c r="E5" s="22" t="s">
        <v>12</v>
      </c>
      <c r="F5" s="22" t="s">
        <v>12</v>
      </c>
      <c r="G5" s="22" t="s">
        <v>12</v>
      </c>
      <c r="H5" s="22" t="s">
        <v>12</v>
      </c>
      <c r="I5" s="22" t="s">
        <v>12</v>
      </c>
      <c r="J5" s="22" t="s">
        <v>12</v>
      </c>
      <c r="K5" s="22" t="s">
        <v>12</v>
      </c>
      <c r="L5" s="22" t="s">
        <v>12</v>
      </c>
      <c r="M5" s="22" t="s">
        <v>12</v>
      </c>
      <c r="N5" s="22" t="s">
        <v>12</v>
      </c>
      <c r="O5" s="22" t="s">
        <v>12</v>
      </c>
      <c r="P5" s="22" t="s">
        <v>12</v>
      </c>
      <c r="Q5" s="22" t="s">
        <v>12</v>
      </c>
      <c r="R5" s="22" t="s">
        <v>12</v>
      </c>
      <c r="S5" s="22" t="s">
        <v>12</v>
      </c>
      <c r="T5" s="22" t="s">
        <v>12</v>
      </c>
      <c r="U5" s="22" t="s">
        <v>12</v>
      </c>
      <c r="V5" s="22" t="s">
        <v>12</v>
      </c>
      <c r="W5" s="22" t="s">
        <v>12</v>
      </c>
      <c r="X5" s="22" t="s">
        <v>12</v>
      </c>
      <c r="Y5" s="22" t="s">
        <v>12</v>
      </c>
      <c r="Z5" s="22" t="s">
        <v>12</v>
      </c>
      <c r="AA5" s="22" t="s">
        <v>12</v>
      </c>
      <c r="AB5" s="22" t="s">
        <v>12</v>
      </c>
      <c r="AC5" s="22" t="s">
        <v>12</v>
      </c>
    </row>
    <row r="6" spans="1:29" s="2" customFormat="1" ht="18" customHeight="1" x14ac:dyDescent="0.2">
      <c r="A6" s="70" t="s">
        <v>192</v>
      </c>
      <c r="B6" s="27" t="s">
        <v>5</v>
      </c>
      <c r="C6" s="28"/>
      <c r="D6" s="28"/>
      <c r="E6" s="28"/>
      <c r="F6" s="28"/>
      <c r="G6" s="29"/>
      <c r="H6" s="28"/>
      <c r="I6" s="28"/>
      <c r="J6" s="28"/>
      <c r="K6" s="29"/>
      <c r="L6" s="28"/>
      <c r="M6" s="28"/>
      <c r="N6" s="28"/>
      <c r="O6" s="28"/>
      <c r="P6" s="29"/>
      <c r="Q6" s="28"/>
      <c r="R6" s="28"/>
      <c r="S6" s="28"/>
      <c r="T6" s="29"/>
      <c r="U6" s="28"/>
      <c r="V6" s="28"/>
      <c r="W6" s="29"/>
      <c r="X6" s="29" t="s">
        <v>60</v>
      </c>
      <c r="Y6" s="29"/>
      <c r="Z6" s="28"/>
      <c r="AA6" s="28"/>
      <c r="AB6" s="22"/>
      <c r="AC6" s="29"/>
    </row>
    <row r="7" spans="1:29" s="2" customFormat="1" ht="18" x14ac:dyDescent="0.2">
      <c r="A7" s="70"/>
      <c r="B7" s="27" t="s">
        <v>6</v>
      </c>
      <c r="C7" s="22"/>
      <c r="D7" s="22"/>
      <c r="E7" s="22"/>
      <c r="F7" s="22"/>
      <c r="G7" s="22"/>
      <c r="H7" s="22"/>
      <c r="I7" s="22"/>
      <c r="J7" s="22"/>
      <c r="K7" s="22"/>
      <c r="L7" s="22"/>
      <c r="M7" s="22"/>
      <c r="N7" s="22"/>
      <c r="O7" s="22"/>
      <c r="P7" s="22"/>
      <c r="Q7" s="22"/>
      <c r="R7" s="22"/>
      <c r="S7" s="22"/>
      <c r="T7" s="22"/>
      <c r="U7" s="22"/>
      <c r="V7" s="22"/>
      <c r="W7" s="22"/>
      <c r="X7" s="22"/>
      <c r="Y7" s="22"/>
      <c r="Z7" s="22"/>
      <c r="AA7" s="22"/>
      <c r="AB7" s="22"/>
      <c r="AC7" s="22"/>
    </row>
    <row r="8" spans="1:29" s="2" customFormat="1" ht="18" x14ac:dyDescent="0.2">
      <c r="A8" s="70"/>
      <c r="B8" s="27" t="s">
        <v>3</v>
      </c>
      <c r="C8" s="22"/>
      <c r="D8" s="22"/>
      <c r="E8" s="22"/>
      <c r="F8" s="22"/>
      <c r="G8" s="22"/>
      <c r="H8" s="22"/>
      <c r="I8" s="22"/>
      <c r="J8" s="22"/>
      <c r="K8" s="22"/>
      <c r="L8" s="22"/>
      <c r="M8" s="22"/>
      <c r="N8" s="22"/>
      <c r="O8" s="22"/>
      <c r="P8" s="22"/>
      <c r="Q8" s="22"/>
      <c r="R8" s="22"/>
      <c r="S8" s="22"/>
      <c r="T8" s="22"/>
      <c r="U8" s="22"/>
      <c r="V8" s="22"/>
      <c r="W8" s="22"/>
      <c r="X8" s="22"/>
      <c r="Y8" s="22"/>
      <c r="Z8" s="22"/>
      <c r="AA8" s="22"/>
      <c r="AB8" s="22"/>
      <c r="AC8" s="22"/>
    </row>
    <row r="9" spans="1:29" s="2" customFormat="1" ht="18" customHeight="1" x14ac:dyDescent="0.2">
      <c r="A9" s="70" t="s">
        <v>31</v>
      </c>
      <c r="B9" s="27" t="s">
        <v>5</v>
      </c>
      <c r="C9" s="28"/>
      <c r="D9" s="28"/>
      <c r="E9" s="28"/>
      <c r="F9" s="28"/>
      <c r="G9" s="28"/>
      <c r="H9" s="28"/>
      <c r="I9" s="28"/>
      <c r="J9" s="28"/>
      <c r="K9" s="28"/>
      <c r="L9" s="28"/>
      <c r="M9" s="28"/>
      <c r="N9" s="28"/>
      <c r="O9" s="28"/>
      <c r="P9" s="28"/>
      <c r="Q9" s="28"/>
      <c r="R9" s="28"/>
      <c r="S9" s="28"/>
      <c r="T9" s="28"/>
      <c r="U9" s="28"/>
      <c r="V9" s="28"/>
      <c r="W9" s="28"/>
      <c r="X9" s="28"/>
      <c r="Y9" s="28"/>
      <c r="Z9" s="28"/>
      <c r="AA9" s="28"/>
      <c r="AB9" s="22"/>
      <c r="AC9" s="28"/>
    </row>
    <row r="10" spans="1:29" s="2" customFormat="1" ht="18" x14ac:dyDescent="0.2">
      <c r="A10" s="70"/>
      <c r="B10" s="27" t="s">
        <v>6</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spans="1:29" s="2" customFormat="1" ht="18" x14ac:dyDescent="0.2">
      <c r="A11" s="70"/>
      <c r="B11" s="27" t="s">
        <v>3</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row>
    <row r="12" spans="1:29" s="2" customFormat="1" ht="18" x14ac:dyDescent="0.2">
      <c r="A12" s="70" t="s">
        <v>241</v>
      </c>
      <c r="B12" s="27" t="s">
        <v>5</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2"/>
      <c r="AC12" s="28"/>
    </row>
    <row r="13" spans="1:29" s="2" customFormat="1" ht="18" x14ac:dyDescent="0.2">
      <c r="A13" s="70"/>
      <c r="B13" s="27" t="s">
        <v>6</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spans="1:29" s="2" customFormat="1" ht="18" x14ac:dyDescent="0.2">
      <c r="A14" s="70"/>
      <c r="B14" s="27" t="s">
        <v>3</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spans="1:29" ht="18" x14ac:dyDescent="0.2">
      <c r="A15" s="20" t="s">
        <v>0</v>
      </c>
      <c r="B15" s="21" t="s">
        <v>2</v>
      </c>
      <c r="C15" s="85" t="s">
        <v>13</v>
      </c>
      <c r="D15" s="86"/>
      <c r="E15" s="86"/>
      <c r="F15" s="86"/>
      <c r="G15" s="87"/>
      <c r="H15" s="85" t="s">
        <v>14</v>
      </c>
      <c r="I15" s="86"/>
      <c r="J15" s="86"/>
      <c r="K15" s="86"/>
      <c r="L15" s="76" t="s">
        <v>15</v>
      </c>
      <c r="M15" s="76"/>
      <c r="N15" s="76"/>
      <c r="O15" s="76"/>
      <c r="P15" s="86" t="s">
        <v>16</v>
      </c>
      <c r="Q15" s="86"/>
      <c r="R15" s="86"/>
      <c r="S15" s="86"/>
      <c r="T15" s="87"/>
      <c r="U15" s="85" t="s">
        <v>17</v>
      </c>
      <c r="V15" s="86"/>
      <c r="W15" s="86"/>
      <c r="X15" s="87"/>
      <c r="Y15" s="85" t="s">
        <v>18</v>
      </c>
      <c r="Z15" s="86"/>
      <c r="AA15" s="86"/>
      <c r="AB15" s="86"/>
      <c r="AC15" s="87"/>
    </row>
    <row r="16" spans="1:29" s="17" customFormat="1" ht="18" x14ac:dyDescent="0.2">
      <c r="A16" s="23" t="s">
        <v>1</v>
      </c>
      <c r="B16" s="24" t="s">
        <v>3</v>
      </c>
      <c r="C16" s="35" t="s">
        <v>245</v>
      </c>
      <c r="D16" s="35" t="s">
        <v>174</v>
      </c>
      <c r="E16" s="35" t="s">
        <v>180</v>
      </c>
      <c r="F16" s="35" t="s">
        <v>181</v>
      </c>
      <c r="G16" s="35" t="s">
        <v>249</v>
      </c>
      <c r="H16" s="35" t="s">
        <v>250</v>
      </c>
      <c r="I16" s="35" t="s">
        <v>182</v>
      </c>
      <c r="J16" s="35" t="s">
        <v>183</v>
      </c>
      <c r="K16" s="35" t="s">
        <v>228</v>
      </c>
      <c r="L16" s="35" t="s">
        <v>166</v>
      </c>
      <c r="M16" s="35" t="s">
        <v>167</v>
      </c>
      <c r="N16" s="35" t="s">
        <v>168</v>
      </c>
      <c r="O16" s="35" t="s">
        <v>251</v>
      </c>
      <c r="P16" s="35" t="s">
        <v>243</v>
      </c>
      <c r="Q16" s="35" t="s">
        <v>207</v>
      </c>
      <c r="R16" s="35" t="s">
        <v>229</v>
      </c>
      <c r="S16" s="35" t="s">
        <v>230</v>
      </c>
      <c r="T16" s="35" t="s">
        <v>231</v>
      </c>
      <c r="U16" s="35" t="s">
        <v>164</v>
      </c>
      <c r="V16" s="35" t="s">
        <v>59</v>
      </c>
      <c r="W16" s="35" t="s">
        <v>58</v>
      </c>
      <c r="X16" s="35" t="s">
        <v>165</v>
      </c>
      <c r="Y16" s="35" t="s">
        <v>166</v>
      </c>
      <c r="Z16" s="35" t="s">
        <v>167</v>
      </c>
      <c r="AA16" s="35" t="s">
        <v>168</v>
      </c>
      <c r="AB16" s="35" t="s">
        <v>169</v>
      </c>
      <c r="AC16" s="35" t="s">
        <v>252</v>
      </c>
    </row>
    <row r="17" spans="1:29" ht="18" x14ac:dyDescent="0.2">
      <c r="A17" s="34"/>
      <c r="B17" s="26" t="s">
        <v>4</v>
      </c>
      <c r="C17" s="22" t="s">
        <v>12</v>
      </c>
      <c r="D17" s="22" t="s">
        <v>12</v>
      </c>
      <c r="E17" s="22" t="s">
        <v>12</v>
      </c>
      <c r="F17" s="22" t="s">
        <v>12</v>
      </c>
      <c r="G17" s="22" t="s">
        <v>12</v>
      </c>
      <c r="H17" s="22" t="s">
        <v>12</v>
      </c>
      <c r="I17" s="22" t="s">
        <v>12</v>
      </c>
      <c r="J17" s="22" t="s">
        <v>12</v>
      </c>
      <c r="K17" s="22" t="s">
        <v>12</v>
      </c>
      <c r="L17" s="22" t="s">
        <v>12</v>
      </c>
      <c r="M17" s="22" t="s">
        <v>12</v>
      </c>
      <c r="N17" s="22" t="s">
        <v>12</v>
      </c>
      <c r="O17" s="22" t="s">
        <v>12</v>
      </c>
      <c r="P17" s="22" t="s">
        <v>12</v>
      </c>
      <c r="Q17" s="22" t="s">
        <v>12</v>
      </c>
      <c r="R17" s="22" t="s">
        <v>12</v>
      </c>
      <c r="S17" s="22" t="s">
        <v>12</v>
      </c>
      <c r="T17" s="22" t="s">
        <v>12</v>
      </c>
      <c r="U17" s="22" t="s">
        <v>12</v>
      </c>
      <c r="V17" s="22" t="s">
        <v>12</v>
      </c>
      <c r="W17" s="22" t="s">
        <v>12</v>
      </c>
      <c r="X17" s="22" t="s">
        <v>12</v>
      </c>
      <c r="Y17" s="22" t="s">
        <v>12</v>
      </c>
      <c r="Z17" s="22" t="s">
        <v>12</v>
      </c>
      <c r="AA17" s="22" t="s">
        <v>12</v>
      </c>
      <c r="AB17" s="22" t="s">
        <v>12</v>
      </c>
      <c r="AC17" s="22" t="s">
        <v>12</v>
      </c>
    </row>
    <row r="18" spans="1:29" ht="18.75" customHeight="1" x14ac:dyDescent="0.2">
      <c r="A18" s="70" t="s">
        <v>192</v>
      </c>
      <c r="B18" s="27" t="s">
        <v>5</v>
      </c>
      <c r="C18" s="28"/>
      <c r="D18" s="28"/>
      <c r="E18" s="28"/>
      <c r="F18" s="28"/>
      <c r="G18" s="29"/>
      <c r="H18" s="28"/>
      <c r="I18" s="28"/>
      <c r="J18" s="28"/>
      <c r="K18" s="29"/>
      <c r="L18" s="28"/>
      <c r="M18" s="28"/>
      <c r="N18" s="28"/>
      <c r="O18" s="29"/>
      <c r="P18" s="28"/>
      <c r="Q18" s="28"/>
      <c r="R18" s="28"/>
      <c r="S18" s="28"/>
      <c r="T18" s="29"/>
      <c r="U18" s="28"/>
      <c r="V18" s="28"/>
      <c r="W18" s="28"/>
      <c r="X18" s="29"/>
      <c r="Y18" s="28"/>
      <c r="Z18" s="28"/>
      <c r="AA18" s="28"/>
      <c r="AB18" s="22"/>
      <c r="AC18" s="29"/>
    </row>
    <row r="19" spans="1:29" ht="18" x14ac:dyDescent="0.2">
      <c r="A19" s="70"/>
      <c r="B19" s="27" t="s">
        <v>6</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row>
    <row r="20" spans="1:29" ht="18" x14ac:dyDescent="0.2">
      <c r="A20" s="70"/>
      <c r="B20" s="27" t="s">
        <v>3</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row>
    <row r="21" spans="1:29" ht="18.75" customHeight="1" x14ac:dyDescent="0.2">
      <c r="A21" s="70" t="s">
        <v>31</v>
      </c>
      <c r="B21" s="27" t="s">
        <v>5</v>
      </c>
      <c r="C21" s="29" t="s">
        <v>60</v>
      </c>
      <c r="D21" s="28"/>
      <c r="E21" s="28"/>
      <c r="F21" s="28"/>
      <c r="G21" s="28"/>
      <c r="H21" s="28"/>
      <c r="I21" s="28"/>
      <c r="J21" s="28"/>
      <c r="K21" s="28"/>
      <c r="L21" s="28"/>
      <c r="M21" s="28"/>
      <c r="N21" s="28"/>
      <c r="O21" s="28"/>
      <c r="P21" s="28"/>
      <c r="Q21" s="28"/>
      <c r="R21" s="28"/>
      <c r="S21" s="28"/>
      <c r="T21" s="28"/>
      <c r="U21" s="28"/>
      <c r="V21" s="28"/>
      <c r="W21" s="28"/>
      <c r="X21" s="28"/>
      <c r="Y21" s="28"/>
      <c r="Z21" s="28"/>
      <c r="AA21" s="28"/>
      <c r="AB21" s="22"/>
      <c r="AC21" s="28"/>
    </row>
    <row r="22" spans="1:29" ht="18" x14ac:dyDescent="0.2">
      <c r="A22" s="70"/>
      <c r="B22" s="27" t="s">
        <v>6</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row>
    <row r="23" spans="1:29" ht="18" x14ac:dyDescent="0.2">
      <c r="A23" s="70"/>
      <c r="B23" s="27" t="s">
        <v>3</v>
      </c>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row>
    <row r="24" spans="1:29" ht="18.75" customHeight="1" x14ac:dyDescent="0.2">
      <c r="A24" s="70" t="s">
        <v>241</v>
      </c>
      <c r="B24" s="27" t="s">
        <v>5</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2"/>
      <c r="AC24" s="28"/>
    </row>
    <row r="25" spans="1:29" ht="18" x14ac:dyDescent="0.2">
      <c r="A25" s="70"/>
      <c r="B25" s="27" t="s">
        <v>6</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row>
    <row r="26" spans="1:29" ht="18" x14ac:dyDescent="0.2">
      <c r="A26" s="70"/>
      <c r="B26" s="27" t="s">
        <v>3</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row>
    <row r="27" spans="1:29" s="4" customFormat="1" ht="18" x14ac:dyDescent="0.4">
      <c r="A27" s="4" t="s">
        <v>219</v>
      </c>
      <c r="W27" s="71" t="s">
        <v>173</v>
      </c>
      <c r="X27" s="71"/>
      <c r="Y27" s="71"/>
      <c r="Z27" s="71"/>
      <c r="AA27" s="71"/>
      <c r="AB27" s="71"/>
      <c r="AC27" s="71"/>
    </row>
    <row r="28" spans="1:29" s="4" customFormat="1" ht="18" x14ac:dyDescent="0.4">
      <c r="A28" s="7" t="s">
        <v>314</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s="4" customFormat="1" ht="18" x14ac:dyDescent="0.4">
      <c r="A29" s="9"/>
      <c r="B29" s="9"/>
      <c r="C29" s="9"/>
      <c r="D29" s="9"/>
      <c r="E29" s="9"/>
      <c r="F29" s="9"/>
      <c r="G29" s="9"/>
      <c r="H29" s="9"/>
      <c r="I29" s="9"/>
      <c r="J29" s="9"/>
      <c r="K29" s="9"/>
      <c r="L29" s="9"/>
      <c r="M29" s="9"/>
      <c r="N29" s="9"/>
      <c r="O29" s="9"/>
      <c r="P29" s="72" t="s">
        <v>28</v>
      </c>
      <c r="Q29" s="72"/>
      <c r="R29" s="73" t="s">
        <v>37</v>
      </c>
      <c r="S29" s="73"/>
      <c r="T29" s="73"/>
      <c r="U29" s="72" t="s">
        <v>30</v>
      </c>
      <c r="V29" s="72"/>
      <c r="W29" s="73" t="s">
        <v>38</v>
      </c>
      <c r="X29" s="73"/>
      <c r="Y29" s="73"/>
      <c r="Z29" s="8" t="s">
        <v>29</v>
      </c>
      <c r="AA29" s="74">
        <v>46021</v>
      </c>
      <c r="AB29" s="73"/>
      <c r="AC29" s="73"/>
    </row>
    <row r="30" spans="1:29" s="4" customFormat="1" ht="18" x14ac:dyDescent="0.4">
      <c r="P30" s="12"/>
      <c r="Q30" s="12"/>
      <c r="R30" s="10"/>
      <c r="S30" s="10"/>
      <c r="T30" s="10"/>
      <c r="U30" s="12"/>
      <c r="V30" s="12"/>
      <c r="W30" s="10"/>
      <c r="X30" s="10"/>
      <c r="Y30" s="10"/>
      <c r="Z30" s="12"/>
      <c r="AA30" s="13"/>
      <c r="AB30" s="10"/>
      <c r="AC30" s="10"/>
    </row>
    <row r="31" spans="1:29" ht="23.25" x14ac:dyDescent="0.5">
      <c r="A31" s="80" t="s">
        <v>26</v>
      </c>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row>
    <row r="32" spans="1:29" s="1" customFormat="1" ht="21" x14ac:dyDescent="0.45">
      <c r="A32" s="6" t="s">
        <v>22</v>
      </c>
      <c r="B32" s="81" t="s">
        <v>36</v>
      </c>
      <c r="C32" s="81"/>
      <c r="D32" s="81"/>
      <c r="E32" s="81"/>
      <c r="F32" s="81"/>
      <c r="G32" s="81"/>
      <c r="H32" s="6" t="s">
        <v>24</v>
      </c>
      <c r="I32" s="81" t="s">
        <v>34</v>
      </c>
      <c r="J32" s="81"/>
      <c r="K32" s="81"/>
      <c r="L32" s="81"/>
      <c r="M32" s="83" t="s">
        <v>25</v>
      </c>
      <c r="N32" s="83"/>
      <c r="O32" s="81" t="s">
        <v>19</v>
      </c>
      <c r="P32" s="81"/>
      <c r="Q32" s="81"/>
      <c r="R32" s="81"/>
      <c r="S32" s="81"/>
      <c r="T32" s="6" t="s">
        <v>20</v>
      </c>
      <c r="U32" s="81">
        <f>$U$2</f>
        <v>2569</v>
      </c>
      <c r="V32" s="81"/>
      <c r="W32" s="83" t="s">
        <v>35</v>
      </c>
      <c r="X32" s="83"/>
      <c r="Y32" s="83"/>
      <c r="Z32" s="1" t="s">
        <v>227</v>
      </c>
    </row>
    <row r="33" spans="1:29" ht="18" x14ac:dyDescent="0.2">
      <c r="A33" s="20" t="s">
        <v>0</v>
      </c>
      <c r="B33" s="21" t="s">
        <v>2</v>
      </c>
      <c r="C33" s="75" t="s">
        <v>32</v>
      </c>
      <c r="D33" s="75"/>
      <c r="E33" s="75"/>
      <c r="F33" s="75"/>
      <c r="G33" s="75"/>
      <c r="H33" s="75" t="s">
        <v>7</v>
      </c>
      <c r="I33" s="75"/>
      <c r="J33" s="75"/>
      <c r="K33" s="75"/>
      <c r="L33" s="77" t="s">
        <v>8</v>
      </c>
      <c r="M33" s="78"/>
      <c r="N33" s="78"/>
      <c r="O33" s="79"/>
      <c r="P33" s="77" t="s">
        <v>9</v>
      </c>
      <c r="Q33" s="78"/>
      <c r="R33" s="78"/>
      <c r="S33" s="78"/>
      <c r="T33" s="79"/>
      <c r="U33" s="75" t="s">
        <v>10</v>
      </c>
      <c r="V33" s="75"/>
      <c r="W33" s="75"/>
      <c r="X33" s="75"/>
      <c r="Y33" s="75"/>
      <c r="Z33" s="75" t="s">
        <v>11</v>
      </c>
      <c r="AA33" s="75"/>
      <c r="AB33" s="75"/>
      <c r="AC33" s="75"/>
    </row>
    <row r="34" spans="1:29" ht="18" x14ac:dyDescent="0.2">
      <c r="A34" s="23" t="s">
        <v>1</v>
      </c>
      <c r="B34" s="24" t="s">
        <v>3</v>
      </c>
      <c r="C34" s="30" t="str">
        <f>C4</f>
        <v>1-5</v>
      </c>
      <c r="D34" s="30" t="str">
        <f t="shared" ref="D34:AC34" si="0">D4</f>
        <v>6-12</v>
      </c>
      <c r="E34" s="30" t="str">
        <f t="shared" si="0"/>
        <v>13-19</v>
      </c>
      <c r="F34" s="30" t="str">
        <f t="shared" si="0"/>
        <v>20-26</v>
      </c>
      <c r="G34" s="30" t="str">
        <f t="shared" si="0"/>
        <v>27-31</v>
      </c>
      <c r="H34" s="30" t="str">
        <f t="shared" si="0"/>
        <v>1-9</v>
      </c>
      <c r="I34" s="30" t="str">
        <f t="shared" si="0"/>
        <v>10-16</v>
      </c>
      <c r="J34" s="30" t="str">
        <f t="shared" si="0"/>
        <v>17-23</v>
      </c>
      <c r="K34" s="30" t="str">
        <f t="shared" si="0"/>
        <v>24-28</v>
      </c>
      <c r="L34" s="30" t="str">
        <f t="shared" si="0"/>
        <v>1-9</v>
      </c>
      <c r="M34" s="30" t="str">
        <f t="shared" si="0"/>
        <v>10-16</v>
      </c>
      <c r="N34" s="30" t="str">
        <f t="shared" si="0"/>
        <v>17-23</v>
      </c>
      <c r="O34" s="30" t="str">
        <f t="shared" si="0"/>
        <v>24-31</v>
      </c>
      <c r="P34" s="30" t="str">
        <f t="shared" si="0"/>
        <v>1-6</v>
      </c>
      <c r="Q34" s="30" t="str">
        <f t="shared" si="0"/>
        <v>7-13</v>
      </c>
      <c r="R34" s="30" t="str">
        <f t="shared" si="0"/>
        <v>14-20</v>
      </c>
      <c r="S34" s="30" t="str">
        <f t="shared" si="0"/>
        <v>21-27</v>
      </c>
      <c r="T34" s="30" t="str">
        <f t="shared" si="0"/>
        <v>28-30</v>
      </c>
      <c r="U34" s="30" t="str">
        <f t="shared" si="0"/>
        <v>1-4</v>
      </c>
      <c r="V34" s="30" t="str">
        <f t="shared" si="0"/>
        <v>5-11</v>
      </c>
      <c r="W34" s="30" t="str">
        <f t="shared" si="0"/>
        <v>12-18</v>
      </c>
      <c r="X34" s="30" t="str">
        <f t="shared" si="0"/>
        <v>19-25</v>
      </c>
      <c r="Y34" s="30" t="str">
        <f t="shared" si="0"/>
        <v>26-31</v>
      </c>
      <c r="Z34" s="30" t="str">
        <f t="shared" si="0"/>
        <v>1-8</v>
      </c>
      <c r="AA34" s="30" t="str">
        <f t="shared" si="0"/>
        <v>9-15</v>
      </c>
      <c r="AB34" s="30" t="str">
        <f t="shared" si="0"/>
        <v>16-22</v>
      </c>
      <c r="AC34" s="30" t="str">
        <f t="shared" si="0"/>
        <v>23-30</v>
      </c>
    </row>
    <row r="35" spans="1:29" ht="18" x14ac:dyDescent="0.2">
      <c r="A35" s="25"/>
      <c r="B35" s="26" t="s">
        <v>4</v>
      </c>
      <c r="C35" s="22" t="s">
        <v>12</v>
      </c>
      <c r="D35" s="31" t="s">
        <v>12</v>
      </c>
      <c r="E35" s="22" t="s">
        <v>12</v>
      </c>
      <c r="F35" s="22" t="s">
        <v>12</v>
      </c>
      <c r="G35" s="22" t="s">
        <v>12</v>
      </c>
      <c r="H35" s="22" t="s">
        <v>12</v>
      </c>
      <c r="I35" s="22" t="s">
        <v>12</v>
      </c>
      <c r="J35" s="22" t="s">
        <v>12</v>
      </c>
      <c r="K35" s="22" t="s">
        <v>12</v>
      </c>
      <c r="L35" s="22" t="s">
        <v>12</v>
      </c>
      <c r="M35" s="22" t="s">
        <v>12</v>
      </c>
      <c r="N35" s="22" t="s">
        <v>12</v>
      </c>
      <c r="O35" s="22" t="s">
        <v>12</v>
      </c>
      <c r="P35" s="22" t="s">
        <v>12</v>
      </c>
      <c r="Q35" s="22" t="s">
        <v>12</v>
      </c>
      <c r="R35" s="22" t="s">
        <v>12</v>
      </c>
      <c r="S35" s="22" t="s">
        <v>12</v>
      </c>
      <c r="T35" s="22" t="s">
        <v>12</v>
      </c>
      <c r="U35" s="22" t="s">
        <v>12</v>
      </c>
      <c r="V35" s="22" t="s">
        <v>12</v>
      </c>
      <c r="W35" s="22" t="s">
        <v>12</v>
      </c>
      <c r="X35" s="22" t="s">
        <v>12</v>
      </c>
      <c r="Y35" s="22" t="s">
        <v>12</v>
      </c>
      <c r="Z35" s="22" t="s">
        <v>12</v>
      </c>
      <c r="AA35" s="22" t="s">
        <v>12</v>
      </c>
      <c r="AB35" s="22" t="s">
        <v>12</v>
      </c>
      <c r="AC35" s="22" t="s">
        <v>12</v>
      </c>
    </row>
    <row r="36" spans="1:29" ht="18.75" customHeight="1" x14ac:dyDescent="0.2">
      <c r="A36" s="70" t="s">
        <v>192</v>
      </c>
      <c r="B36" s="27" t="s">
        <v>5</v>
      </c>
      <c r="C36" s="28"/>
      <c r="D36" s="28"/>
      <c r="E36" s="28"/>
      <c r="F36" s="28"/>
      <c r="G36" s="29"/>
      <c r="H36" s="28"/>
      <c r="I36" s="28"/>
      <c r="J36" s="28"/>
      <c r="K36" s="29"/>
      <c r="L36" s="28"/>
      <c r="M36" s="28"/>
      <c r="N36" s="28"/>
      <c r="O36" s="28"/>
      <c r="P36" s="29"/>
      <c r="Q36" s="28"/>
      <c r="R36" s="28"/>
      <c r="S36" s="28"/>
      <c r="T36" s="29"/>
      <c r="U36" s="28"/>
      <c r="V36" s="28"/>
      <c r="W36" s="28"/>
      <c r="X36" s="29" t="s">
        <v>60</v>
      </c>
      <c r="Y36" s="29"/>
      <c r="Z36" s="28"/>
      <c r="AA36" s="28"/>
      <c r="AB36" s="22"/>
      <c r="AC36" s="29"/>
    </row>
    <row r="37" spans="1:29" ht="18" x14ac:dyDescent="0.2">
      <c r="A37" s="70"/>
      <c r="B37" s="27" t="s">
        <v>6</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row>
    <row r="38" spans="1:29" ht="18" x14ac:dyDescent="0.2">
      <c r="A38" s="70"/>
      <c r="B38" s="27" t="s">
        <v>3</v>
      </c>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row>
    <row r="39" spans="1:29" ht="18" x14ac:dyDescent="0.2">
      <c r="A39" s="70" t="s">
        <v>31</v>
      </c>
      <c r="B39" s="27" t="s">
        <v>5</v>
      </c>
      <c r="C39" s="28"/>
      <c r="D39" s="28"/>
      <c r="E39" s="29"/>
      <c r="F39" s="29"/>
      <c r="G39" s="29"/>
      <c r="H39" s="29" t="s">
        <v>60</v>
      </c>
      <c r="I39" s="28"/>
      <c r="J39" s="28"/>
      <c r="K39" s="28"/>
      <c r="L39" s="28"/>
      <c r="M39" s="28"/>
      <c r="N39" s="28"/>
      <c r="O39" s="28"/>
      <c r="P39" s="28"/>
      <c r="Q39" s="28"/>
      <c r="R39" s="28"/>
      <c r="S39" s="28"/>
      <c r="T39" s="28"/>
      <c r="U39" s="28"/>
      <c r="V39" s="28"/>
      <c r="W39" s="28"/>
      <c r="X39" s="28"/>
      <c r="Y39" s="28"/>
      <c r="Z39" s="28"/>
      <c r="AA39" s="28"/>
      <c r="AB39" s="22"/>
      <c r="AC39" s="28"/>
    </row>
    <row r="40" spans="1:29" ht="18" x14ac:dyDescent="0.2">
      <c r="A40" s="70"/>
      <c r="B40" s="27" t="s">
        <v>6</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row>
    <row r="41" spans="1:29" ht="18" x14ac:dyDescent="0.2">
      <c r="A41" s="70"/>
      <c r="B41" s="27" t="s">
        <v>3</v>
      </c>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row>
    <row r="42" spans="1:29" ht="18" x14ac:dyDescent="0.2">
      <c r="A42" s="70" t="s">
        <v>241</v>
      </c>
      <c r="B42" s="27" t="s">
        <v>5</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2"/>
      <c r="AC42" s="28"/>
    </row>
    <row r="43" spans="1:29" ht="18" x14ac:dyDescent="0.2">
      <c r="A43" s="70"/>
      <c r="B43" s="27" t="s">
        <v>6</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row>
    <row r="44" spans="1:29" ht="18" x14ac:dyDescent="0.2">
      <c r="A44" s="70"/>
      <c r="B44" s="27" t="s">
        <v>3</v>
      </c>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row>
    <row r="45" spans="1:29" ht="18" x14ac:dyDescent="0.2">
      <c r="A45" s="20" t="s">
        <v>0</v>
      </c>
      <c r="B45" s="21" t="s">
        <v>2</v>
      </c>
      <c r="C45" s="76" t="s">
        <v>13</v>
      </c>
      <c r="D45" s="76"/>
      <c r="E45" s="76"/>
      <c r="F45" s="76"/>
      <c r="G45" s="76"/>
      <c r="H45" s="76" t="s">
        <v>14</v>
      </c>
      <c r="I45" s="76"/>
      <c r="J45" s="76"/>
      <c r="K45" s="76"/>
      <c r="L45" s="76" t="s">
        <v>15</v>
      </c>
      <c r="M45" s="76"/>
      <c r="N45" s="76"/>
      <c r="O45" s="76"/>
      <c r="P45" s="76" t="s">
        <v>16</v>
      </c>
      <c r="Q45" s="76"/>
      <c r="R45" s="76"/>
      <c r="S45" s="76"/>
      <c r="T45" s="76"/>
      <c r="U45" s="76" t="s">
        <v>17</v>
      </c>
      <c r="V45" s="76"/>
      <c r="W45" s="76"/>
      <c r="X45" s="76"/>
      <c r="Y45" s="76" t="s">
        <v>18</v>
      </c>
      <c r="Z45" s="76"/>
      <c r="AA45" s="76"/>
      <c r="AB45" s="76"/>
      <c r="AC45" s="76"/>
    </row>
    <row r="46" spans="1:29" ht="18" x14ac:dyDescent="0.2">
      <c r="A46" s="23" t="s">
        <v>1</v>
      </c>
      <c r="B46" s="24" t="s">
        <v>3</v>
      </c>
      <c r="C46" s="32" t="str">
        <f>C16</f>
        <v>1-6</v>
      </c>
      <c r="D46" s="33" t="str">
        <f t="shared" ref="D46:AC46" si="1">D16</f>
        <v>7-13</v>
      </c>
      <c r="E46" s="32" t="str">
        <f t="shared" si="1"/>
        <v>14-20</v>
      </c>
      <c r="F46" s="32" t="str">
        <f t="shared" si="1"/>
        <v>21-27</v>
      </c>
      <c r="G46" s="32" t="str">
        <f t="shared" si="1"/>
        <v>28-31</v>
      </c>
      <c r="H46" s="32" t="str">
        <f t="shared" si="1"/>
        <v>1-10</v>
      </c>
      <c r="I46" s="32" t="str">
        <f t="shared" si="1"/>
        <v>11-17</v>
      </c>
      <c r="J46" s="32" t="str">
        <f t="shared" si="1"/>
        <v>18-24</v>
      </c>
      <c r="K46" s="32" t="str">
        <f t="shared" si="1"/>
        <v>25-31</v>
      </c>
      <c r="L46" s="32" t="str">
        <f t="shared" si="1"/>
        <v>1-7</v>
      </c>
      <c r="M46" s="32" t="str">
        <f t="shared" si="1"/>
        <v>8-14</v>
      </c>
      <c r="N46" s="32" t="str">
        <f t="shared" si="1"/>
        <v>15-21</v>
      </c>
      <c r="O46" s="32" t="str">
        <f t="shared" si="1"/>
        <v>22-30</v>
      </c>
      <c r="P46" s="32" t="str">
        <f t="shared" si="1"/>
        <v>1-5</v>
      </c>
      <c r="Q46" s="32" t="str">
        <f t="shared" si="1"/>
        <v>6-12</v>
      </c>
      <c r="R46" s="32" t="str">
        <f t="shared" si="1"/>
        <v>13-19</v>
      </c>
      <c r="S46" s="32" t="str">
        <f t="shared" si="1"/>
        <v>20-26</v>
      </c>
      <c r="T46" s="32" t="str">
        <f t="shared" si="1"/>
        <v>27-31</v>
      </c>
      <c r="U46" s="32" t="str">
        <f t="shared" si="1"/>
        <v>1-9</v>
      </c>
      <c r="V46" s="32" t="str">
        <f t="shared" si="1"/>
        <v>10-16</v>
      </c>
      <c r="W46" s="32" t="str">
        <f t="shared" si="1"/>
        <v>17-23</v>
      </c>
      <c r="X46" s="32" t="str">
        <f t="shared" si="1"/>
        <v>24-30</v>
      </c>
      <c r="Y46" s="32" t="str">
        <f t="shared" si="1"/>
        <v>1-7</v>
      </c>
      <c r="Z46" s="32" t="str">
        <f t="shared" si="1"/>
        <v>8-14</v>
      </c>
      <c r="AA46" s="32" t="str">
        <f t="shared" si="1"/>
        <v>15-21</v>
      </c>
      <c r="AB46" s="32" t="str">
        <f t="shared" si="1"/>
        <v>22-28</v>
      </c>
      <c r="AC46" s="32" t="str">
        <f t="shared" si="1"/>
        <v>29-31</v>
      </c>
    </row>
    <row r="47" spans="1:29" ht="18" x14ac:dyDescent="0.2">
      <c r="A47" s="34"/>
      <c r="B47" s="26" t="s">
        <v>4</v>
      </c>
      <c r="C47" s="22" t="s">
        <v>12</v>
      </c>
      <c r="D47" s="22" t="s">
        <v>12</v>
      </c>
      <c r="E47" s="22" t="s">
        <v>12</v>
      </c>
      <c r="F47" s="22" t="s">
        <v>12</v>
      </c>
      <c r="G47" s="22" t="s">
        <v>12</v>
      </c>
      <c r="H47" s="22" t="s">
        <v>12</v>
      </c>
      <c r="I47" s="22" t="s">
        <v>12</v>
      </c>
      <c r="J47" s="22" t="s">
        <v>12</v>
      </c>
      <c r="K47" s="22" t="s">
        <v>12</v>
      </c>
      <c r="L47" s="22" t="s">
        <v>12</v>
      </c>
      <c r="M47" s="22" t="s">
        <v>12</v>
      </c>
      <c r="N47" s="22" t="s">
        <v>12</v>
      </c>
      <c r="O47" s="22" t="s">
        <v>12</v>
      </c>
      <c r="P47" s="22" t="s">
        <v>12</v>
      </c>
      <c r="Q47" s="22" t="s">
        <v>12</v>
      </c>
      <c r="R47" s="22" t="s">
        <v>12</v>
      </c>
      <c r="S47" s="22" t="s">
        <v>12</v>
      </c>
      <c r="T47" s="22" t="s">
        <v>12</v>
      </c>
      <c r="U47" s="22" t="s">
        <v>12</v>
      </c>
      <c r="V47" s="22" t="s">
        <v>12</v>
      </c>
      <c r="W47" s="22" t="s">
        <v>12</v>
      </c>
      <c r="X47" s="22" t="s">
        <v>12</v>
      </c>
      <c r="Y47" s="22" t="s">
        <v>12</v>
      </c>
      <c r="Z47" s="22" t="s">
        <v>12</v>
      </c>
      <c r="AA47" s="22" t="s">
        <v>12</v>
      </c>
      <c r="AB47" s="22" t="s">
        <v>12</v>
      </c>
      <c r="AC47" s="22" t="s">
        <v>12</v>
      </c>
    </row>
    <row r="48" spans="1:29" ht="18.75" customHeight="1" x14ac:dyDescent="0.2">
      <c r="A48" s="70" t="s">
        <v>192</v>
      </c>
      <c r="B48" s="27" t="s">
        <v>5</v>
      </c>
      <c r="C48" s="28"/>
      <c r="D48" s="28"/>
      <c r="E48" s="28"/>
      <c r="F48" s="28"/>
      <c r="G48" s="29"/>
      <c r="H48" s="28"/>
      <c r="I48" s="28"/>
      <c r="J48" s="28"/>
      <c r="K48" s="29"/>
      <c r="L48" s="28"/>
      <c r="M48" s="28"/>
      <c r="N48" s="28"/>
      <c r="O48" s="29"/>
      <c r="P48" s="28"/>
      <c r="Q48" s="28"/>
      <c r="R48" s="28"/>
      <c r="S48" s="28"/>
      <c r="T48" s="29"/>
      <c r="U48" s="28"/>
      <c r="V48" s="28"/>
      <c r="W48" s="28"/>
      <c r="X48" s="29"/>
      <c r="Y48" s="28"/>
      <c r="Z48" s="28"/>
      <c r="AA48" s="28"/>
      <c r="AB48" s="22"/>
      <c r="AC48" s="29"/>
    </row>
    <row r="49" spans="1:29" ht="18" x14ac:dyDescent="0.2">
      <c r="A49" s="70"/>
      <c r="B49" s="27" t="s">
        <v>6</v>
      </c>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spans="1:29" ht="18" x14ac:dyDescent="0.2">
      <c r="A50" s="70"/>
      <c r="B50" s="27" t="s">
        <v>3</v>
      </c>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row>
    <row r="51" spans="1:29" ht="18.75" customHeight="1" x14ac:dyDescent="0.2">
      <c r="A51" s="70" t="s">
        <v>31</v>
      </c>
      <c r="B51" s="27" t="s">
        <v>5</v>
      </c>
      <c r="C51" s="29"/>
      <c r="D51" s="28"/>
      <c r="E51" s="28"/>
      <c r="F51" s="28"/>
      <c r="G51" s="28"/>
      <c r="H51" s="28"/>
      <c r="I51" s="28"/>
      <c r="J51" s="28"/>
      <c r="K51" s="28"/>
      <c r="L51" s="28"/>
      <c r="M51" s="28"/>
      <c r="N51" s="28"/>
      <c r="O51" s="28"/>
      <c r="P51" s="28"/>
      <c r="Q51" s="28"/>
      <c r="R51" s="28"/>
      <c r="S51" s="28"/>
      <c r="T51" s="28"/>
      <c r="U51" s="28"/>
      <c r="V51" s="28"/>
      <c r="W51" s="28"/>
      <c r="X51" s="28"/>
      <c r="Y51" s="28"/>
      <c r="Z51" s="28"/>
      <c r="AA51" s="28"/>
      <c r="AB51" s="22"/>
      <c r="AC51" s="28"/>
    </row>
    <row r="52" spans="1:29" ht="18" x14ac:dyDescent="0.2">
      <c r="A52" s="70"/>
      <c r="B52" s="27" t="s">
        <v>6</v>
      </c>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row>
    <row r="53" spans="1:29" ht="18" x14ac:dyDescent="0.2">
      <c r="A53" s="70"/>
      <c r="B53" s="27" t="s">
        <v>3</v>
      </c>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row>
    <row r="54" spans="1:29" ht="18.75" customHeight="1" x14ac:dyDescent="0.2">
      <c r="A54" s="70" t="s">
        <v>241</v>
      </c>
      <c r="B54" s="27" t="s">
        <v>5</v>
      </c>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2"/>
      <c r="AC54" s="28"/>
    </row>
    <row r="55" spans="1:29" ht="18" x14ac:dyDescent="0.2">
      <c r="A55" s="70"/>
      <c r="B55" s="27" t="s">
        <v>6</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row>
    <row r="56" spans="1:29" ht="18" x14ac:dyDescent="0.2">
      <c r="A56" s="70"/>
      <c r="B56" s="27" t="s">
        <v>3</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row>
    <row r="57" spans="1:29" ht="18" x14ac:dyDescent="0.4">
      <c r="A57" s="4" t="s">
        <v>219</v>
      </c>
      <c r="B57" s="4"/>
      <c r="C57" s="4"/>
      <c r="D57" s="4"/>
      <c r="E57" s="4"/>
      <c r="F57" s="4"/>
      <c r="G57" s="4"/>
      <c r="H57" s="4"/>
      <c r="I57" s="4"/>
      <c r="J57" s="4"/>
      <c r="K57" s="4"/>
      <c r="L57" s="4"/>
      <c r="M57" s="4"/>
      <c r="N57" s="4"/>
      <c r="O57" s="4"/>
      <c r="P57" s="4"/>
      <c r="Q57" s="4"/>
      <c r="R57" s="4"/>
      <c r="S57" s="4"/>
      <c r="T57" s="4"/>
      <c r="U57" s="4"/>
      <c r="V57" s="4"/>
      <c r="W57" s="71" t="s">
        <v>173</v>
      </c>
      <c r="X57" s="71"/>
      <c r="Y57" s="71"/>
      <c r="Z57" s="71"/>
      <c r="AA57" s="71"/>
      <c r="AB57" s="71"/>
      <c r="AC57" s="71"/>
    </row>
    <row r="58" spans="1:29" ht="18" x14ac:dyDescent="0.4">
      <c r="A58" s="7" t="s">
        <v>315</v>
      </c>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row>
    <row r="59" spans="1:29" ht="18" x14ac:dyDescent="0.4">
      <c r="A59" s="9"/>
      <c r="B59" s="9"/>
      <c r="C59" s="9"/>
      <c r="D59" s="9"/>
      <c r="E59" s="9"/>
      <c r="F59" s="9"/>
      <c r="G59" s="9"/>
      <c r="H59" s="9"/>
      <c r="I59" s="9"/>
      <c r="J59" s="9"/>
      <c r="K59" s="9"/>
      <c r="L59" s="9"/>
      <c r="M59" s="9"/>
      <c r="N59" s="9"/>
      <c r="O59" s="9"/>
      <c r="P59" s="72" t="s">
        <v>28</v>
      </c>
      <c r="Q59" s="72"/>
      <c r="R59" s="73" t="str">
        <f>R29</f>
        <v>พีรวัส</v>
      </c>
      <c r="S59" s="73"/>
      <c r="T59" s="73"/>
      <c r="U59" s="72" t="s">
        <v>30</v>
      </c>
      <c r="V59" s="72"/>
      <c r="W59" s="73" t="str">
        <f>W29</f>
        <v>วรพงศ์</v>
      </c>
      <c r="X59" s="73"/>
      <c r="Y59" s="73"/>
      <c r="Z59" s="8" t="s">
        <v>29</v>
      </c>
      <c r="AA59" s="74">
        <f>AA29</f>
        <v>46021</v>
      </c>
      <c r="AB59" s="74"/>
      <c r="AC59" s="74"/>
    </row>
    <row r="60" spans="1:29" ht="18" x14ac:dyDescent="0.4">
      <c r="A60" s="4"/>
      <c r="B60" s="4"/>
      <c r="C60" s="4"/>
      <c r="D60" s="4"/>
      <c r="E60" s="4"/>
      <c r="F60" s="4"/>
      <c r="G60" s="4"/>
      <c r="H60" s="4"/>
      <c r="I60" s="4"/>
      <c r="J60" s="4"/>
      <c r="K60" s="4"/>
      <c r="L60" s="4"/>
      <c r="M60" s="4"/>
      <c r="N60" s="4"/>
      <c r="O60" s="4"/>
      <c r="P60" s="12"/>
      <c r="Q60" s="12"/>
      <c r="R60" s="10"/>
      <c r="S60" s="10"/>
      <c r="T60" s="10"/>
      <c r="U60" s="12"/>
      <c r="V60" s="12"/>
      <c r="W60" s="10"/>
      <c r="X60" s="10"/>
      <c r="Y60" s="10"/>
      <c r="Z60" s="12"/>
      <c r="AA60" s="13"/>
      <c r="AB60" s="13"/>
      <c r="AC60" s="13"/>
    </row>
    <row r="61" spans="1:29" ht="23.25" x14ac:dyDescent="0.5">
      <c r="A61" s="80" t="s">
        <v>26</v>
      </c>
      <c r="B61" s="80"/>
      <c r="C61" s="80"/>
      <c r="D61" s="80"/>
      <c r="E61" s="80"/>
      <c r="F61" s="80"/>
      <c r="G61" s="80"/>
      <c r="H61" s="80"/>
      <c r="I61" s="80"/>
      <c r="J61" s="80"/>
      <c r="K61" s="80"/>
      <c r="L61" s="80"/>
      <c r="M61" s="80"/>
      <c r="N61" s="80"/>
      <c r="O61" s="80"/>
      <c r="P61" s="80"/>
      <c r="Q61" s="80"/>
      <c r="R61" s="80"/>
      <c r="S61" s="80"/>
      <c r="T61" s="80"/>
      <c r="U61" s="80"/>
      <c r="V61" s="80"/>
      <c r="W61" s="80"/>
      <c r="X61" s="80"/>
      <c r="Y61" s="80"/>
      <c r="Z61" s="80"/>
      <c r="AA61" s="80"/>
      <c r="AB61" s="80"/>
      <c r="AC61" s="80"/>
    </row>
    <row r="62" spans="1:29" s="1" customFormat="1" ht="21" x14ac:dyDescent="0.45">
      <c r="A62" s="6" t="s">
        <v>22</v>
      </c>
      <c r="B62" s="81" t="s">
        <v>46</v>
      </c>
      <c r="C62" s="81"/>
      <c r="D62" s="81"/>
      <c r="E62" s="81"/>
      <c r="F62" s="81"/>
      <c r="G62" s="81"/>
      <c r="H62" s="6" t="s">
        <v>24</v>
      </c>
      <c r="I62" s="81" t="s">
        <v>47</v>
      </c>
      <c r="J62" s="81"/>
      <c r="K62" s="81"/>
      <c r="L62" s="81"/>
      <c r="M62" s="83" t="s">
        <v>25</v>
      </c>
      <c r="N62" s="83"/>
      <c r="O62" s="81" t="s">
        <v>48</v>
      </c>
      <c r="P62" s="81"/>
      <c r="Q62" s="81"/>
      <c r="R62" s="81"/>
      <c r="S62" s="81"/>
      <c r="T62" s="6" t="s">
        <v>20</v>
      </c>
      <c r="U62" s="81">
        <f>$U$2</f>
        <v>2569</v>
      </c>
      <c r="V62" s="81"/>
      <c r="W62" s="83" t="s">
        <v>35</v>
      </c>
      <c r="X62" s="83"/>
      <c r="Y62" s="83"/>
      <c r="Z62" s="1" t="s">
        <v>285</v>
      </c>
    </row>
    <row r="63" spans="1:29" ht="18" x14ac:dyDescent="0.2">
      <c r="A63" s="20" t="s">
        <v>0</v>
      </c>
      <c r="B63" s="21" t="s">
        <v>2</v>
      </c>
      <c r="C63" s="75" t="s">
        <v>32</v>
      </c>
      <c r="D63" s="75"/>
      <c r="E63" s="75"/>
      <c r="F63" s="75"/>
      <c r="G63" s="75"/>
      <c r="H63" s="75" t="s">
        <v>7</v>
      </c>
      <c r="I63" s="75"/>
      <c r="J63" s="75"/>
      <c r="K63" s="75"/>
      <c r="L63" s="77" t="s">
        <v>8</v>
      </c>
      <c r="M63" s="78"/>
      <c r="N63" s="78"/>
      <c r="O63" s="79"/>
      <c r="P63" s="77" t="s">
        <v>9</v>
      </c>
      <c r="Q63" s="78"/>
      <c r="R63" s="78"/>
      <c r="S63" s="78"/>
      <c r="T63" s="79"/>
      <c r="U63" s="75" t="s">
        <v>10</v>
      </c>
      <c r="V63" s="75"/>
      <c r="W63" s="75"/>
      <c r="X63" s="75"/>
      <c r="Y63" s="75"/>
      <c r="Z63" s="75" t="s">
        <v>11</v>
      </c>
      <c r="AA63" s="75"/>
      <c r="AB63" s="75"/>
      <c r="AC63" s="75"/>
    </row>
    <row r="64" spans="1:29" ht="18" x14ac:dyDescent="0.2">
      <c r="A64" s="23" t="s">
        <v>1</v>
      </c>
      <c r="B64" s="24" t="s">
        <v>3</v>
      </c>
      <c r="C64" s="35" t="str">
        <f>C34</f>
        <v>1-5</v>
      </c>
      <c r="D64" s="35" t="str">
        <f t="shared" ref="D64:AC64" si="2">D34</f>
        <v>6-12</v>
      </c>
      <c r="E64" s="35" t="str">
        <f t="shared" si="2"/>
        <v>13-19</v>
      </c>
      <c r="F64" s="35" t="str">
        <f t="shared" si="2"/>
        <v>20-26</v>
      </c>
      <c r="G64" s="35" t="str">
        <f t="shared" si="2"/>
        <v>27-31</v>
      </c>
      <c r="H64" s="35" t="str">
        <f t="shared" si="2"/>
        <v>1-9</v>
      </c>
      <c r="I64" s="35" t="str">
        <f t="shared" si="2"/>
        <v>10-16</v>
      </c>
      <c r="J64" s="35" t="str">
        <f t="shared" si="2"/>
        <v>17-23</v>
      </c>
      <c r="K64" s="35" t="str">
        <f t="shared" si="2"/>
        <v>24-28</v>
      </c>
      <c r="L64" s="35" t="str">
        <f t="shared" si="2"/>
        <v>1-9</v>
      </c>
      <c r="M64" s="35" t="str">
        <f t="shared" si="2"/>
        <v>10-16</v>
      </c>
      <c r="N64" s="35" t="str">
        <f t="shared" si="2"/>
        <v>17-23</v>
      </c>
      <c r="O64" s="35" t="str">
        <f t="shared" si="2"/>
        <v>24-31</v>
      </c>
      <c r="P64" s="35" t="str">
        <f t="shared" si="2"/>
        <v>1-6</v>
      </c>
      <c r="Q64" s="35" t="str">
        <f t="shared" si="2"/>
        <v>7-13</v>
      </c>
      <c r="R64" s="35" t="str">
        <f t="shared" si="2"/>
        <v>14-20</v>
      </c>
      <c r="S64" s="35" t="str">
        <f t="shared" si="2"/>
        <v>21-27</v>
      </c>
      <c r="T64" s="35" t="str">
        <f t="shared" si="2"/>
        <v>28-30</v>
      </c>
      <c r="U64" s="35" t="str">
        <f t="shared" si="2"/>
        <v>1-4</v>
      </c>
      <c r="V64" s="35" t="str">
        <f t="shared" si="2"/>
        <v>5-11</v>
      </c>
      <c r="W64" s="35" t="str">
        <f t="shared" si="2"/>
        <v>12-18</v>
      </c>
      <c r="X64" s="35" t="str">
        <f t="shared" si="2"/>
        <v>19-25</v>
      </c>
      <c r="Y64" s="35" t="str">
        <f t="shared" si="2"/>
        <v>26-31</v>
      </c>
      <c r="Z64" s="35" t="str">
        <f t="shared" si="2"/>
        <v>1-8</v>
      </c>
      <c r="AA64" s="35" t="str">
        <f t="shared" si="2"/>
        <v>9-15</v>
      </c>
      <c r="AB64" s="35" t="str">
        <f t="shared" si="2"/>
        <v>16-22</v>
      </c>
      <c r="AC64" s="35" t="str">
        <f t="shared" si="2"/>
        <v>23-30</v>
      </c>
    </row>
    <row r="65" spans="1:29" ht="18" x14ac:dyDescent="0.2">
      <c r="A65" s="25"/>
      <c r="B65" s="26" t="s">
        <v>4</v>
      </c>
      <c r="C65" s="22" t="s">
        <v>12</v>
      </c>
      <c r="D65" s="22" t="s">
        <v>12</v>
      </c>
      <c r="E65" s="22" t="s">
        <v>12</v>
      </c>
      <c r="F65" s="22" t="s">
        <v>12</v>
      </c>
      <c r="G65" s="22" t="s">
        <v>12</v>
      </c>
      <c r="H65" s="22" t="s">
        <v>12</v>
      </c>
      <c r="I65" s="22" t="s">
        <v>12</v>
      </c>
      <c r="J65" s="22" t="s">
        <v>12</v>
      </c>
      <c r="K65" s="22" t="s">
        <v>12</v>
      </c>
      <c r="L65" s="22" t="s">
        <v>12</v>
      </c>
      <c r="M65" s="22" t="s">
        <v>12</v>
      </c>
      <c r="N65" s="22" t="s">
        <v>12</v>
      </c>
      <c r="O65" s="22" t="s">
        <v>12</v>
      </c>
      <c r="P65" s="22" t="s">
        <v>12</v>
      </c>
      <c r="Q65" s="22" t="s">
        <v>12</v>
      </c>
      <c r="R65" s="22" t="s">
        <v>12</v>
      </c>
      <c r="S65" s="22" t="s">
        <v>12</v>
      </c>
      <c r="T65" s="22" t="s">
        <v>12</v>
      </c>
      <c r="U65" s="22" t="s">
        <v>12</v>
      </c>
      <c r="V65" s="22" t="s">
        <v>12</v>
      </c>
      <c r="W65" s="22" t="s">
        <v>12</v>
      </c>
      <c r="X65" s="22" t="s">
        <v>12</v>
      </c>
      <c r="Y65" s="22" t="s">
        <v>12</v>
      </c>
      <c r="Z65" s="22" t="s">
        <v>12</v>
      </c>
      <c r="AA65" s="22" t="s">
        <v>12</v>
      </c>
      <c r="AB65" s="22" t="s">
        <v>12</v>
      </c>
      <c r="AC65" s="22" t="s">
        <v>12</v>
      </c>
    </row>
    <row r="66" spans="1:29" ht="18.75" customHeight="1" x14ac:dyDescent="0.2">
      <c r="A66" s="70" t="s">
        <v>312</v>
      </c>
      <c r="B66" s="27" t="s">
        <v>5</v>
      </c>
      <c r="C66" s="28"/>
      <c r="D66" s="28"/>
      <c r="E66" s="28"/>
      <c r="F66" s="28"/>
      <c r="G66" s="29"/>
      <c r="H66" s="28"/>
      <c r="I66" s="28"/>
      <c r="J66" s="28"/>
      <c r="K66" s="29"/>
      <c r="L66" s="28"/>
      <c r="M66" s="28"/>
      <c r="N66" s="28"/>
      <c r="O66" s="28"/>
      <c r="P66" s="29"/>
      <c r="Q66" s="28"/>
      <c r="R66" s="28"/>
      <c r="S66" s="28"/>
      <c r="T66" s="29"/>
      <c r="U66" s="28"/>
      <c r="V66" s="28"/>
      <c r="W66" s="28"/>
      <c r="X66" s="28"/>
      <c r="Y66" s="29"/>
      <c r="Z66" s="28"/>
      <c r="AA66" s="28"/>
      <c r="AB66" s="22"/>
      <c r="AC66" s="29"/>
    </row>
    <row r="67" spans="1:29" ht="18" x14ac:dyDescent="0.2">
      <c r="A67" s="70"/>
      <c r="B67" s="27" t="s">
        <v>6</v>
      </c>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row>
    <row r="68" spans="1:29" ht="18" x14ac:dyDescent="0.2">
      <c r="A68" s="70"/>
      <c r="B68" s="27" t="s">
        <v>3</v>
      </c>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row>
    <row r="69" spans="1:29" ht="18.75" customHeight="1" x14ac:dyDescent="0.2">
      <c r="A69" s="70" t="s">
        <v>316</v>
      </c>
      <c r="B69" s="27" t="s">
        <v>5</v>
      </c>
      <c r="C69" s="35"/>
      <c r="D69" s="28"/>
      <c r="E69" s="35"/>
      <c r="F69" s="35"/>
      <c r="G69" s="29"/>
      <c r="H69" s="28"/>
      <c r="I69" s="28"/>
      <c r="J69" s="28"/>
      <c r="K69" s="29"/>
      <c r="L69" s="28"/>
      <c r="M69" s="28"/>
      <c r="N69" s="28"/>
      <c r="O69" s="28"/>
      <c r="P69" s="29"/>
      <c r="Q69" s="28"/>
      <c r="R69" s="28"/>
      <c r="S69" s="28"/>
      <c r="T69" s="29"/>
      <c r="U69" s="28"/>
      <c r="V69" s="28"/>
      <c r="W69" s="28"/>
      <c r="X69" s="28"/>
      <c r="Y69" s="29"/>
      <c r="Z69" s="28"/>
      <c r="AA69" s="28"/>
      <c r="AB69" s="22"/>
      <c r="AC69" s="29"/>
    </row>
    <row r="70" spans="1:29" ht="18" x14ac:dyDescent="0.2">
      <c r="A70" s="70"/>
      <c r="B70" s="27" t="s">
        <v>6</v>
      </c>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row>
    <row r="71" spans="1:29" ht="18" x14ac:dyDescent="0.2">
      <c r="A71" s="70"/>
      <c r="B71" s="27" t="s">
        <v>3</v>
      </c>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row>
    <row r="72" spans="1:29" ht="18.75" customHeight="1" x14ac:dyDescent="0.2">
      <c r="A72" s="70" t="s">
        <v>51</v>
      </c>
      <c r="B72" s="27" t="s">
        <v>5</v>
      </c>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2"/>
      <c r="AC72" s="28"/>
    </row>
    <row r="73" spans="1:29" ht="18" x14ac:dyDescent="0.2">
      <c r="A73" s="70"/>
      <c r="B73" s="27" t="s">
        <v>6</v>
      </c>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row>
    <row r="74" spans="1:29" ht="18" x14ac:dyDescent="0.2">
      <c r="A74" s="70"/>
      <c r="B74" s="27" t="s">
        <v>3</v>
      </c>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row>
    <row r="75" spans="1:29" ht="18" x14ac:dyDescent="0.2">
      <c r="A75" s="20" t="s">
        <v>0</v>
      </c>
      <c r="B75" s="21" t="s">
        <v>2</v>
      </c>
      <c r="C75" s="76" t="s">
        <v>13</v>
      </c>
      <c r="D75" s="76"/>
      <c r="E75" s="76"/>
      <c r="F75" s="76"/>
      <c r="G75" s="76"/>
      <c r="H75" s="76" t="s">
        <v>14</v>
      </c>
      <c r="I75" s="76"/>
      <c r="J75" s="76"/>
      <c r="K75" s="76"/>
      <c r="L75" s="76" t="s">
        <v>15</v>
      </c>
      <c r="M75" s="76"/>
      <c r="N75" s="76"/>
      <c r="O75" s="76"/>
      <c r="P75" s="76" t="s">
        <v>16</v>
      </c>
      <c r="Q75" s="76"/>
      <c r="R75" s="76"/>
      <c r="S75" s="76"/>
      <c r="T75" s="76"/>
      <c r="U75" s="76" t="s">
        <v>17</v>
      </c>
      <c r="V75" s="76"/>
      <c r="W75" s="76"/>
      <c r="X75" s="76"/>
      <c r="Y75" s="76" t="s">
        <v>18</v>
      </c>
      <c r="Z75" s="76"/>
      <c r="AA75" s="76"/>
      <c r="AB75" s="76"/>
      <c r="AC75" s="76"/>
    </row>
    <row r="76" spans="1:29" ht="18" x14ac:dyDescent="0.2">
      <c r="A76" s="20" t="s">
        <v>1</v>
      </c>
      <c r="B76" s="24" t="s">
        <v>3</v>
      </c>
      <c r="C76" s="32" t="str">
        <f>C46</f>
        <v>1-6</v>
      </c>
      <c r="D76" s="33" t="str">
        <f t="shared" ref="D76:AC76" si="3">D46</f>
        <v>7-13</v>
      </c>
      <c r="E76" s="32" t="str">
        <f t="shared" si="3"/>
        <v>14-20</v>
      </c>
      <c r="F76" s="32" t="str">
        <f t="shared" si="3"/>
        <v>21-27</v>
      </c>
      <c r="G76" s="32" t="str">
        <f t="shared" si="3"/>
        <v>28-31</v>
      </c>
      <c r="H76" s="32" t="str">
        <f t="shared" si="3"/>
        <v>1-10</v>
      </c>
      <c r="I76" s="32" t="str">
        <f t="shared" si="3"/>
        <v>11-17</v>
      </c>
      <c r="J76" s="32" t="str">
        <f t="shared" si="3"/>
        <v>18-24</v>
      </c>
      <c r="K76" s="32" t="str">
        <f t="shared" si="3"/>
        <v>25-31</v>
      </c>
      <c r="L76" s="32" t="str">
        <f t="shared" si="3"/>
        <v>1-7</v>
      </c>
      <c r="M76" s="32" t="str">
        <f t="shared" si="3"/>
        <v>8-14</v>
      </c>
      <c r="N76" s="32" t="str">
        <f t="shared" si="3"/>
        <v>15-21</v>
      </c>
      <c r="O76" s="32" t="str">
        <f t="shared" si="3"/>
        <v>22-30</v>
      </c>
      <c r="P76" s="32" t="str">
        <f t="shared" si="3"/>
        <v>1-5</v>
      </c>
      <c r="Q76" s="32" t="str">
        <f t="shared" si="3"/>
        <v>6-12</v>
      </c>
      <c r="R76" s="32" t="str">
        <f t="shared" si="3"/>
        <v>13-19</v>
      </c>
      <c r="S76" s="32" t="str">
        <f t="shared" si="3"/>
        <v>20-26</v>
      </c>
      <c r="T76" s="32" t="str">
        <f t="shared" si="3"/>
        <v>27-31</v>
      </c>
      <c r="U76" s="32" t="str">
        <f t="shared" si="3"/>
        <v>1-9</v>
      </c>
      <c r="V76" s="32" t="str">
        <f t="shared" si="3"/>
        <v>10-16</v>
      </c>
      <c r="W76" s="32" t="str">
        <f t="shared" si="3"/>
        <v>17-23</v>
      </c>
      <c r="X76" s="32" t="str">
        <f t="shared" si="3"/>
        <v>24-30</v>
      </c>
      <c r="Y76" s="32" t="str">
        <f t="shared" si="3"/>
        <v>1-7</v>
      </c>
      <c r="Z76" s="32" t="str">
        <f t="shared" si="3"/>
        <v>8-14</v>
      </c>
      <c r="AA76" s="32" t="str">
        <f t="shared" si="3"/>
        <v>15-21</v>
      </c>
      <c r="AB76" s="32" t="str">
        <f t="shared" si="3"/>
        <v>22-28</v>
      </c>
      <c r="AC76" s="32" t="str">
        <f t="shared" si="3"/>
        <v>29-31</v>
      </c>
    </row>
    <row r="77" spans="1:29" ht="18" x14ac:dyDescent="0.2">
      <c r="A77" s="34"/>
      <c r="B77" s="26" t="s">
        <v>4</v>
      </c>
      <c r="C77" s="22" t="s">
        <v>12</v>
      </c>
      <c r="D77" s="22" t="s">
        <v>12</v>
      </c>
      <c r="E77" s="22" t="s">
        <v>12</v>
      </c>
      <c r="F77" s="22" t="s">
        <v>12</v>
      </c>
      <c r="G77" s="22" t="s">
        <v>12</v>
      </c>
      <c r="H77" s="22" t="s">
        <v>12</v>
      </c>
      <c r="I77" s="22" t="s">
        <v>12</v>
      </c>
      <c r="J77" s="22" t="s">
        <v>12</v>
      </c>
      <c r="K77" s="22" t="s">
        <v>12</v>
      </c>
      <c r="L77" s="22" t="s">
        <v>12</v>
      </c>
      <c r="M77" s="22" t="s">
        <v>12</v>
      </c>
      <c r="N77" s="22" t="s">
        <v>12</v>
      </c>
      <c r="O77" s="22" t="s">
        <v>12</v>
      </c>
      <c r="P77" s="22" t="s">
        <v>12</v>
      </c>
      <c r="Q77" s="22" t="s">
        <v>12</v>
      </c>
      <c r="R77" s="22" t="s">
        <v>12</v>
      </c>
      <c r="S77" s="22" t="s">
        <v>12</v>
      </c>
      <c r="T77" s="22" t="s">
        <v>12</v>
      </c>
      <c r="U77" s="22" t="s">
        <v>12</v>
      </c>
      <c r="V77" s="22" t="s">
        <v>12</v>
      </c>
      <c r="W77" s="22" t="s">
        <v>12</v>
      </c>
      <c r="X77" s="22" t="s">
        <v>12</v>
      </c>
      <c r="Y77" s="22" t="s">
        <v>12</v>
      </c>
      <c r="Z77" s="22" t="s">
        <v>12</v>
      </c>
      <c r="AA77" s="22" t="s">
        <v>12</v>
      </c>
      <c r="AB77" s="22" t="s">
        <v>12</v>
      </c>
      <c r="AC77" s="22" t="s">
        <v>12</v>
      </c>
    </row>
    <row r="78" spans="1:29" ht="18.75" customHeight="1" x14ac:dyDescent="0.2">
      <c r="A78" s="70" t="s">
        <v>312</v>
      </c>
      <c r="B78" s="27" t="s">
        <v>5</v>
      </c>
      <c r="C78" s="28"/>
      <c r="D78" s="28"/>
      <c r="E78" s="28"/>
      <c r="F78" s="28"/>
      <c r="G78" s="29"/>
      <c r="H78" s="28"/>
      <c r="I78" s="28"/>
      <c r="J78" s="28"/>
      <c r="K78" s="29"/>
      <c r="L78" s="28"/>
      <c r="M78" s="28"/>
      <c r="N78" s="28"/>
      <c r="O78" s="29"/>
      <c r="P78" s="28"/>
      <c r="Q78" s="28"/>
      <c r="R78" s="28"/>
      <c r="S78" s="28"/>
      <c r="T78" s="29"/>
      <c r="U78" s="28"/>
      <c r="V78" s="28"/>
      <c r="W78" s="28"/>
      <c r="X78" s="29"/>
      <c r="Y78" s="28"/>
      <c r="Z78" s="28"/>
      <c r="AA78" s="28"/>
      <c r="AB78" s="22"/>
      <c r="AC78" s="29"/>
    </row>
    <row r="79" spans="1:29" ht="18" x14ac:dyDescent="0.2">
      <c r="A79" s="70"/>
      <c r="B79" s="27" t="s">
        <v>6</v>
      </c>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row>
    <row r="80" spans="1:29" ht="18" x14ac:dyDescent="0.2">
      <c r="A80" s="70"/>
      <c r="B80" s="27" t="s">
        <v>3</v>
      </c>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row>
    <row r="81" spans="1:29" ht="18.75" customHeight="1" x14ac:dyDescent="0.2">
      <c r="A81" s="70" t="s">
        <v>316</v>
      </c>
      <c r="B81" s="27" t="s">
        <v>5</v>
      </c>
      <c r="C81" s="29"/>
      <c r="D81" s="28"/>
      <c r="E81" s="28"/>
      <c r="F81" s="28"/>
      <c r="G81" s="28"/>
      <c r="H81" s="28"/>
      <c r="I81" s="28"/>
      <c r="J81" s="28"/>
      <c r="K81" s="28"/>
    </row>
    <row r="82" spans="1:29" ht="18" x14ac:dyDescent="0.2">
      <c r="A82" s="70"/>
      <c r="B82" s="27" t="s">
        <v>6</v>
      </c>
      <c r="C82" s="22"/>
      <c r="D82" s="22"/>
      <c r="E82" s="22"/>
      <c r="F82" s="22"/>
      <c r="G82" s="22"/>
      <c r="H82" s="22"/>
      <c r="I82" s="22"/>
      <c r="J82" s="22"/>
      <c r="K82" s="22"/>
      <c r="L82" s="28"/>
      <c r="M82" s="28"/>
      <c r="N82" s="28"/>
      <c r="O82" s="28"/>
      <c r="P82" s="28"/>
      <c r="Q82" s="28"/>
      <c r="R82" s="28"/>
      <c r="S82" s="28"/>
      <c r="T82" s="28"/>
      <c r="U82" s="28"/>
      <c r="V82" s="28"/>
      <c r="W82" s="28"/>
      <c r="X82" s="28"/>
      <c r="Y82" s="28"/>
      <c r="Z82" s="28"/>
      <c r="AA82" s="28"/>
      <c r="AB82" s="22"/>
      <c r="AC82" s="28"/>
    </row>
    <row r="83" spans="1:29" ht="18" x14ac:dyDescent="0.2">
      <c r="A83" s="70"/>
      <c r="B83" s="27" t="s">
        <v>3</v>
      </c>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row>
    <row r="84" spans="1:29" ht="18.75" customHeight="1" x14ac:dyDescent="0.2">
      <c r="A84" s="70" t="s">
        <v>51</v>
      </c>
      <c r="B84" s="27" t="s">
        <v>5</v>
      </c>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2"/>
      <c r="AC84" s="28"/>
    </row>
    <row r="85" spans="1:29" ht="18" x14ac:dyDescent="0.2">
      <c r="A85" s="70"/>
      <c r="B85" s="27" t="s">
        <v>6</v>
      </c>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row>
    <row r="86" spans="1:29" ht="18" x14ac:dyDescent="0.2">
      <c r="A86" s="70"/>
      <c r="B86" s="27" t="s">
        <v>3</v>
      </c>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row>
    <row r="87" spans="1:29" ht="18" x14ac:dyDescent="0.4">
      <c r="A87" s="4" t="s">
        <v>219</v>
      </c>
      <c r="B87" s="4"/>
      <c r="C87" s="4"/>
      <c r="D87" s="4"/>
      <c r="E87" s="4"/>
      <c r="F87" s="4"/>
      <c r="G87" s="4"/>
      <c r="H87" s="4"/>
      <c r="I87" s="4"/>
      <c r="J87" s="4"/>
      <c r="K87" s="4"/>
      <c r="L87" s="4"/>
      <c r="M87" s="4"/>
      <c r="N87" s="4"/>
      <c r="O87" s="4"/>
      <c r="P87" s="4"/>
      <c r="Q87" s="4"/>
      <c r="R87" s="4"/>
      <c r="S87" s="4"/>
      <c r="T87" s="4"/>
      <c r="U87" s="4"/>
      <c r="V87" s="4"/>
      <c r="W87" s="71" t="s">
        <v>173</v>
      </c>
      <c r="X87" s="71"/>
      <c r="Y87" s="71"/>
      <c r="Z87" s="71"/>
      <c r="AA87" s="71"/>
      <c r="AB87" s="71"/>
      <c r="AC87" s="71"/>
    </row>
    <row r="88" spans="1:29" ht="18" x14ac:dyDescent="0.4">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row>
    <row r="89" spans="1:29" ht="18" x14ac:dyDescent="0.4">
      <c r="A89" s="9"/>
      <c r="B89" s="9"/>
      <c r="C89" s="9"/>
      <c r="D89" s="9"/>
      <c r="E89" s="9"/>
      <c r="F89" s="9"/>
      <c r="G89" s="9"/>
      <c r="H89" s="9"/>
      <c r="I89" s="9"/>
      <c r="J89" s="9"/>
      <c r="K89" s="9"/>
      <c r="L89" s="9"/>
      <c r="M89" s="9"/>
      <c r="N89" s="9"/>
      <c r="O89" s="9"/>
      <c r="P89" s="72" t="s">
        <v>28</v>
      </c>
      <c r="Q89" s="72"/>
      <c r="R89" s="73" t="str">
        <f>R29</f>
        <v>พีรวัส</v>
      </c>
      <c r="S89" s="73"/>
      <c r="T89" s="73"/>
      <c r="U89" s="72" t="s">
        <v>30</v>
      </c>
      <c r="V89" s="72"/>
      <c r="W89" s="73" t="str">
        <f>W29</f>
        <v>วรพงศ์</v>
      </c>
      <c r="X89" s="73"/>
      <c r="Y89" s="73"/>
      <c r="Z89" s="8" t="s">
        <v>29</v>
      </c>
      <c r="AA89" s="74">
        <f>AA29</f>
        <v>46021</v>
      </c>
      <c r="AB89" s="74"/>
      <c r="AC89" s="74"/>
    </row>
    <row r="90" spans="1:29" ht="18" x14ac:dyDescent="0.4">
      <c r="A90" s="4"/>
      <c r="B90" s="4"/>
      <c r="C90" s="4"/>
      <c r="D90" s="4"/>
      <c r="E90" s="4"/>
      <c r="F90" s="4"/>
      <c r="G90" s="4"/>
      <c r="H90" s="4"/>
      <c r="I90" s="4"/>
      <c r="J90" s="4"/>
      <c r="K90" s="4"/>
      <c r="L90" s="4"/>
      <c r="M90" s="4"/>
      <c r="N90" s="4"/>
      <c r="O90" s="4"/>
      <c r="P90" s="12"/>
      <c r="Q90" s="12"/>
      <c r="R90" s="10"/>
      <c r="S90" s="10"/>
      <c r="T90" s="10"/>
      <c r="U90" s="12"/>
      <c r="V90" s="12"/>
      <c r="W90" s="10"/>
      <c r="X90" s="10"/>
      <c r="Y90" s="10"/>
      <c r="Z90" s="12"/>
      <c r="AA90" s="13"/>
      <c r="AB90" s="13"/>
      <c r="AC90" s="13"/>
    </row>
    <row r="91" spans="1:29" ht="23.25" x14ac:dyDescent="0.5">
      <c r="A91" s="80" t="s">
        <v>26</v>
      </c>
      <c r="B91" s="80"/>
      <c r="C91" s="80"/>
      <c r="D91" s="80"/>
      <c r="E91" s="80"/>
      <c r="F91" s="80"/>
      <c r="G91" s="80"/>
      <c r="H91" s="80"/>
      <c r="I91" s="80"/>
      <c r="J91" s="80"/>
      <c r="K91" s="80"/>
      <c r="L91" s="80"/>
      <c r="M91" s="80"/>
      <c r="N91" s="80"/>
      <c r="O91" s="80"/>
      <c r="P91" s="80"/>
      <c r="Q91" s="80"/>
      <c r="R91" s="80"/>
      <c r="S91" s="80"/>
      <c r="T91" s="80"/>
      <c r="U91" s="80"/>
      <c r="V91" s="80"/>
      <c r="W91" s="80"/>
      <c r="X91" s="80"/>
      <c r="Y91" s="80"/>
      <c r="Z91" s="80"/>
      <c r="AA91" s="80"/>
      <c r="AB91" s="80"/>
      <c r="AC91" s="80"/>
    </row>
    <row r="92" spans="1:29" s="1" customFormat="1" ht="21" x14ac:dyDescent="0.45">
      <c r="A92" s="6" t="s">
        <v>22</v>
      </c>
      <c r="B92" s="81" t="s">
        <v>52</v>
      </c>
      <c r="C92" s="81"/>
      <c r="D92" s="81"/>
      <c r="E92" s="81"/>
      <c r="F92" s="81"/>
      <c r="G92" s="81"/>
      <c r="H92" s="6" t="s">
        <v>24</v>
      </c>
      <c r="I92" s="81" t="s">
        <v>53</v>
      </c>
      <c r="J92" s="81"/>
      <c r="K92" s="81"/>
      <c r="L92" s="81"/>
      <c r="M92" s="83" t="s">
        <v>25</v>
      </c>
      <c r="N92" s="83"/>
      <c r="O92" s="81" t="s">
        <v>48</v>
      </c>
      <c r="P92" s="81"/>
      <c r="Q92" s="81"/>
      <c r="R92" s="81"/>
      <c r="S92" s="81"/>
      <c r="T92" s="6" t="s">
        <v>20</v>
      </c>
      <c r="U92" s="81">
        <f>$U$2</f>
        <v>2569</v>
      </c>
      <c r="V92" s="81"/>
      <c r="W92" s="83" t="s">
        <v>35</v>
      </c>
      <c r="X92" s="83"/>
      <c r="Y92" s="83"/>
      <c r="Z92" s="1" t="s">
        <v>285</v>
      </c>
    </row>
    <row r="93" spans="1:29" ht="18" x14ac:dyDescent="0.2">
      <c r="A93" s="20" t="s">
        <v>0</v>
      </c>
      <c r="B93" s="21" t="s">
        <v>2</v>
      </c>
      <c r="C93" s="75" t="s">
        <v>32</v>
      </c>
      <c r="D93" s="75"/>
      <c r="E93" s="75"/>
      <c r="F93" s="75"/>
      <c r="G93" s="75"/>
      <c r="H93" s="75" t="s">
        <v>7</v>
      </c>
      <c r="I93" s="75"/>
      <c r="J93" s="75"/>
      <c r="K93" s="75"/>
      <c r="L93" s="77" t="s">
        <v>8</v>
      </c>
      <c r="M93" s="78"/>
      <c r="N93" s="78"/>
      <c r="O93" s="79"/>
      <c r="P93" s="77" t="s">
        <v>9</v>
      </c>
      <c r="Q93" s="78"/>
      <c r="R93" s="78"/>
      <c r="S93" s="78"/>
      <c r="T93" s="79"/>
      <c r="U93" s="75" t="s">
        <v>10</v>
      </c>
      <c r="V93" s="75"/>
      <c r="W93" s="75"/>
      <c r="X93" s="75"/>
      <c r="Y93" s="75"/>
      <c r="Z93" s="75" t="s">
        <v>11</v>
      </c>
      <c r="AA93" s="75"/>
      <c r="AB93" s="75"/>
      <c r="AC93" s="75"/>
    </row>
    <row r="94" spans="1:29" ht="18" x14ac:dyDescent="0.2">
      <c r="A94" s="23" t="s">
        <v>1</v>
      </c>
      <c r="B94" s="24" t="s">
        <v>3</v>
      </c>
      <c r="C94" s="35" t="str">
        <f>C64</f>
        <v>1-5</v>
      </c>
      <c r="D94" s="35" t="str">
        <f t="shared" ref="D94:AC94" si="4">D64</f>
        <v>6-12</v>
      </c>
      <c r="E94" s="35" t="str">
        <f t="shared" si="4"/>
        <v>13-19</v>
      </c>
      <c r="F94" s="35" t="str">
        <f t="shared" si="4"/>
        <v>20-26</v>
      </c>
      <c r="G94" s="35" t="str">
        <f t="shared" si="4"/>
        <v>27-31</v>
      </c>
      <c r="H94" s="35" t="str">
        <f t="shared" si="4"/>
        <v>1-9</v>
      </c>
      <c r="I94" s="35" t="str">
        <f t="shared" si="4"/>
        <v>10-16</v>
      </c>
      <c r="J94" s="35" t="str">
        <f t="shared" si="4"/>
        <v>17-23</v>
      </c>
      <c r="K94" s="35" t="str">
        <f t="shared" si="4"/>
        <v>24-28</v>
      </c>
      <c r="L94" s="35" t="str">
        <f t="shared" si="4"/>
        <v>1-9</v>
      </c>
      <c r="M94" s="35" t="str">
        <f t="shared" si="4"/>
        <v>10-16</v>
      </c>
      <c r="N94" s="35" t="str">
        <f t="shared" si="4"/>
        <v>17-23</v>
      </c>
      <c r="O94" s="35" t="str">
        <f t="shared" si="4"/>
        <v>24-31</v>
      </c>
      <c r="P94" s="35" t="str">
        <f t="shared" si="4"/>
        <v>1-6</v>
      </c>
      <c r="Q94" s="35" t="str">
        <f t="shared" si="4"/>
        <v>7-13</v>
      </c>
      <c r="R94" s="35" t="str">
        <f t="shared" si="4"/>
        <v>14-20</v>
      </c>
      <c r="S94" s="35" t="str">
        <f t="shared" si="4"/>
        <v>21-27</v>
      </c>
      <c r="T94" s="35" t="str">
        <f t="shared" si="4"/>
        <v>28-30</v>
      </c>
      <c r="U94" s="35" t="str">
        <f t="shared" si="4"/>
        <v>1-4</v>
      </c>
      <c r="V94" s="35" t="str">
        <f t="shared" si="4"/>
        <v>5-11</v>
      </c>
      <c r="W94" s="35" t="str">
        <f t="shared" si="4"/>
        <v>12-18</v>
      </c>
      <c r="X94" s="35" t="str">
        <f t="shared" si="4"/>
        <v>19-25</v>
      </c>
      <c r="Y94" s="35" t="str">
        <f t="shared" si="4"/>
        <v>26-31</v>
      </c>
      <c r="Z94" s="35" t="str">
        <f t="shared" si="4"/>
        <v>1-8</v>
      </c>
      <c r="AA94" s="35" t="str">
        <f t="shared" si="4"/>
        <v>9-15</v>
      </c>
      <c r="AB94" s="35" t="str">
        <f t="shared" si="4"/>
        <v>16-22</v>
      </c>
      <c r="AC94" s="35" t="str">
        <f t="shared" si="4"/>
        <v>23-30</v>
      </c>
    </row>
    <row r="95" spans="1:29" ht="18" x14ac:dyDescent="0.2">
      <c r="A95" s="25"/>
      <c r="B95" s="26" t="s">
        <v>4</v>
      </c>
      <c r="C95" s="22" t="s">
        <v>12</v>
      </c>
      <c r="D95" s="22" t="s">
        <v>12</v>
      </c>
      <c r="E95" s="22" t="s">
        <v>12</v>
      </c>
      <c r="F95" s="22" t="s">
        <v>12</v>
      </c>
      <c r="G95" s="22" t="s">
        <v>12</v>
      </c>
      <c r="H95" s="22" t="s">
        <v>12</v>
      </c>
      <c r="I95" s="22" t="s">
        <v>12</v>
      </c>
      <c r="J95" s="22" t="s">
        <v>12</v>
      </c>
      <c r="K95" s="22" t="s">
        <v>12</v>
      </c>
      <c r="L95" s="22" t="s">
        <v>12</v>
      </c>
      <c r="M95" s="22" t="s">
        <v>12</v>
      </c>
      <c r="N95" s="22" t="s">
        <v>12</v>
      </c>
      <c r="O95" s="22" t="s">
        <v>12</v>
      </c>
      <c r="P95" s="22" t="s">
        <v>12</v>
      </c>
      <c r="Q95" s="22" t="s">
        <v>12</v>
      </c>
      <c r="R95" s="22" t="s">
        <v>12</v>
      </c>
      <c r="S95" s="22" t="s">
        <v>12</v>
      </c>
      <c r="T95" s="22" t="s">
        <v>12</v>
      </c>
      <c r="U95" s="22" t="s">
        <v>12</v>
      </c>
      <c r="V95" s="22" t="s">
        <v>12</v>
      </c>
      <c r="W95" s="22" t="s">
        <v>12</v>
      </c>
      <c r="X95" s="22" t="s">
        <v>12</v>
      </c>
      <c r="Y95" s="22" t="s">
        <v>12</v>
      </c>
      <c r="Z95" s="22" t="s">
        <v>12</v>
      </c>
      <c r="AA95" s="22" t="s">
        <v>12</v>
      </c>
      <c r="AB95" s="22" t="s">
        <v>12</v>
      </c>
      <c r="AC95" s="22" t="s">
        <v>12</v>
      </c>
    </row>
    <row r="96" spans="1:29" ht="18.75" customHeight="1" x14ac:dyDescent="0.2">
      <c r="A96" s="70" t="s">
        <v>312</v>
      </c>
      <c r="B96" s="27" t="s">
        <v>5</v>
      </c>
      <c r="C96" s="28"/>
      <c r="D96" s="28"/>
      <c r="E96" s="28"/>
      <c r="F96" s="28"/>
      <c r="G96" s="29"/>
      <c r="H96" s="28"/>
      <c r="I96" s="28"/>
      <c r="J96" s="28"/>
      <c r="K96" s="29"/>
      <c r="L96" s="28"/>
      <c r="M96" s="28"/>
      <c r="N96" s="28"/>
      <c r="O96" s="28"/>
      <c r="P96" s="29"/>
      <c r="Q96" s="28"/>
      <c r="R96" s="28"/>
      <c r="S96" s="28"/>
      <c r="T96" s="29"/>
      <c r="U96" s="28"/>
      <c r="V96" s="28"/>
      <c r="W96" s="28"/>
      <c r="X96" s="28"/>
      <c r="Y96" s="29"/>
      <c r="Z96" s="28"/>
      <c r="AA96" s="28"/>
      <c r="AB96" s="22"/>
      <c r="AC96" s="29"/>
    </row>
    <row r="97" spans="1:29" ht="18" x14ac:dyDescent="0.2">
      <c r="A97" s="70"/>
      <c r="B97" s="27" t="s">
        <v>6</v>
      </c>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row>
    <row r="98" spans="1:29" ht="18" x14ac:dyDescent="0.2">
      <c r="A98" s="70"/>
      <c r="B98" s="27" t="s">
        <v>3</v>
      </c>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row>
    <row r="99" spans="1:29" ht="18.75" customHeight="1" x14ac:dyDescent="0.2">
      <c r="A99" s="70" t="s">
        <v>316</v>
      </c>
      <c r="B99" s="27" t="s">
        <v>5</v>
      </c>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row>
    <row r="100" spans="1:29" ht="18" x14ac:dyDescent="0.2">
      <c r="A100" s="70"/>
      <c r="B100" s="27" t="s">
        <v>6</v>
      </c>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row>
    <row r="101" spans="1:29" ht="18" x14ac:dyDescent="0.2">
      <c r="A101" s="70"/>
      <c r="B101" s="27" t="s">
        <v>3</v>
      </c>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row>
    <row r="102" spans="1:29" ht="18.75" customHeight="1" x14ac:dyDescent="0.2">
      <c r="A102" s="70" t="s">
        <v>51</v>
      </c>
      <c r="B102" s="27" t="s">
        <v>5</v>
      </c>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row>
    <row r="103" spans="1:29" ht="18" x14ac:dyDescent="0.2">
      <c r="A103" s="70"/>
      <c r="B103" s="27" t="s">
        <v>6</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row>
    <row r="104" spans="1:29" ht="18" x14ac:dyDescent="0.2">
      <c r="A104" s="70"/>
      <c r="B104" s="27" t="s">
        <v>3</v>
      </c>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row>
    <row r="105" spans="1:29" ht="18" x14ac:dyDescent="0.2">
      <c r="A105" s="20" t="s">
        <v>0</v>
      </c>
      <c r="B105" s="21" t="s">
        <v>2</v>
      </c>
      <c r="C105" s="76" t="s">
        <v>13</v>
      </c>
      <c r="D105" s="76"/>
      <c r="E105" s="76"/>
      <c r="F105" s="76"/>
      <c r="G105" s="76"/>
      <c r="H105" s="76" t="s">
        <v>14</v>
      </c>
      <c r="I105" s="76"/>
      <c r="J105" s="76"/>
      <c r="K105" s="76"/>
      <c r="L105" s="76" t="s">
        <v>15</v>
      </c>
      <c r="M105" s="76"/>
      <c r="N105" s="76"/>
      <c r="O105" s="76"/>
      <c r="P105" s="76" t="s">
        <v>16</v>
      </c>
      <c r="Q105" s="76"/>
      <c r="R105" s="76"/>
      <c r="S105" s="76"/>
      <c r="T105" s="76"/>
      <c r="U105" s="76" t="s">
        <v>17</v>
      </c>
      <c r="V105" s="76"/>
      <c r="W105" s="76"/>
      <c r="X105" s="76"/>
      <c r="Y105" s="76" t="s">
        <v>18</v>
      </c>
      <c r="Z105" s="76"/>
      <c r="AA105" s="76"/>
      <c r="AB105" s="76"/>
      <c r="AC105" s="76"/>
    </row>
    <row r="106" spans="1:29" ht="18" x14ac:dyDescent="0.2">
      <c r="A106" s="20" t="s">
        <v>1</v>
      </c>
      <c r="B106" s="24" t="s">
        <v>3</v>
      </c>
      <c r="C106" s="32" t="str">
        <f>C76</f>
        <v>1-6</v>
      </c>
      <c r="D106" s="33" t="str">
        <f t="shared" ref="D106:AC106" si="5">D76</f>
        <v>7-13</v>
      </c>
      <c r="E106" s="32" t="str">
        <f t="shared" si="5"/>
        <v>14-20</v>
      </c>
      <c r="F106" s="32" t="str">
        <f t="shared" si="5"/>
        <v>21-27</v>
      </c>
      <c r="G106" s="32" t="str">
        <f t="shared" si="5"/>
        <v>28-31</v>
      </c>
      <c r="H106" s="32" t="str">
        <f t="shared" si="5"/>
        <v>1-10</v>
      </c>
      <c r="I106" s="32" t="str">
        <f t="shared" si="5"/>
        <v>11-17</v>
      </c>
      <c r="J106" s="32" t="str">
        <f t="shared" si="5"/>
        <v>18-24</v>
      </c>
      <c r="K106" s="32" t="str">
        <f t="shared" si="5"/>
        <v>25-31</v>
      </c>
      <c r="L106" s="32" t="str">
        <f t="shared" si="5"/>
        <v>1-7</v>
      </c>
      <c r="M106" s="32" t="str">
        <f t="shared" si="5"/>
        <v>8-14</v>
      </c>
      <c r="N106" s="32" t="str">
        <f t="shared" si="5"/>
        <v>15-21</v>
      </c>
      <c r="O106" s="32" t="str">
        <f t="shared" si="5"/>
        <v>22-30</v>
      </c>
      <c r="P106" s="32" t="str">
        <f t="shared" si="5"/>
        <v>1-5</v>
      </c>
      <c r="Q106" s="32" t="str">
        <f t="shared" si="5"/>
        <v>6-12</v>
      </c>
      <c r="R106" s="32" t="str">
        <f t="shared" si="5"/>
        <v>13-19</v>
      </c>
      <c r="S106" s="32" t="str">
        <f t="shared" si="5"/>
        <v>20-26</v>
      </c>
      <c r="T106" s="32" t="str">
        <f t="shared" si="5"/>
        <v>27-31</v>
      </c>
      <c r="U106" s="32" t="str">
        <f t="shared" si="5"/>
        <v>1-9</v>
      </c>
      <c r="V106" s="32" t="str">
        <f t="shared" si="5"/>
        <v>10-16</v>
      </c>
      <c r="W106" s="32" t="str">
        <f t="shared" si="5"/>
        <v>17-23</v>
      </c>
      <c r="X106" s="32" t="str">
        <f t="shared" si="5"/>
        <v>24-30</v>
      </c>
      <c r="Y106" s="32" t="str">
        <f t="shared" si="5"/>
        <v>1-7</v>
      </c>
      <c r="Z106" s="32" t="str">
        <f t="shared" si="5"/>
        <v>8-14</v>
      </c>
      <c r="AA106" s="32" t="str">
        <f t="shared" si="5"/>
        <v>15-21</v>
      </c>
      <c r="AB106" s="32" t="str">
        <f t="shared" si="5"/>
        <v>22-28</v>
      </c>
      <c r="AC106" s="32" t="str">
        <f t="shared" si="5"/>
        <v>29-31</v>
      </c>
    </row>
    <row r="107" spans="1:29" ht="18" x14ac:dyDescent="0.2">
      <c r="A107" s="34"/>
      <c r="B107" s="26" t="s">
        <v>4</v>
      </c>
      <c r="C107" s="22" t="s">
        <v>12</v>
      </c>
      <c r="D107" s="22" t="s">
        <v>12</v>
      </c>
      <c r="E107" s="22" t="s">
        <v>12</v>
      </c>
      <c r="F107" s="22" t="s">
        <v>12</v>
      </c>
      <c r="G107" s="22" t="s">
        <v>12</v>
      </c>
      <c r="H107" s="22" t="s">
        <v>12</v>
      </c>
      <c r="I107" s="22" t="s">
        <v>12</v>
      </c>
      <c r="J107" s="22" t="s">
        <v>12</v>
      </c>
      <c r="K107" s="22" t="s">
        <v>12</v>
      </c>
      <c r="L107" s="22" t="s">
        <v>12</v>
      </c>
      <c r="M107" s="22" t="s">
        <v>12</v>
      </c>
      <c r="N107" s="22" t="s">
        <v>12</v>
      </c>
      <c r="O107" s="22" t="s">
        <v>12</v>
      </c>
      <c r="P107" s="22" t="s">
        <v>12</v>
      </c>
      <c r="Q107" s="22" t="s">
        <v>12</v>
      </c>
      <c r="R107" s="22" t="s">
        <v>12</v>
      </c>
      <c r="S107" s="22" t="s">
        <v>12</v>
      </c>
      <c r="T107" s="22" t="s">
        <v>12</v>
      </c>
      <c r="U107" s="22" t="s">
        <v>12</v>
      </c>
      <c r="V107" s="22" t="s">
        <v>12</v>
      </c>
      <c r="W107" s="22" t="s">
        <v>12</v>
      </c>
      <c r="X107" s="22" t="s">
        <v>12</v>
      </c>
      <c r="Y107" s="22" t="s">
        <v>12</v>
      </c>
      <c r="Z107" s="22" t="s">
        <v>12</v>
      </c>
      <c r="AA107" s="22" t="s">
        <v>12</v>
      </c>
      <c r="AB107" s="22" t="s">
        <v>12</v>
      </c>
      <c r="AC107" s="22" t="s">
        <v>12</v>
      </c>
    </row>
    <row r="108" spans="1:29" ht="18.75" customHeight="1" x14ac:dyDescent="0.2">
      <c r="A108" s="70" t="s">
        <v>312</v>
      </c>
      <c r="B108" s="27" t="s">
        <v>5</v>
      </c>
      <c r="C108" s="28"/>
      <c r="D108" s="28"/>
      <c r="E108" s="28"/>
      <c r="F108" s="28"/>
      <c r="G108" s="29"/>
      <c r="H108" s="28"/>
      <c r="I108" s="28"/>
      <c r="J108" s="28"/>
      <c r="K108" s="29"/>
      <c r="L108" s="28"/>
      <c r="M108" s="28"/>
      <c r="N108" s="28"/>
      <c r="O108" s="29"/>
      <c r="P108" s="28"/>
      <c r="Q108" s="28"/>
      <c r="R108" s="28"/>
      <c r="S108" s="28"/>
      <c r="T108" s="29"/>
      <c r="U108" s="28"/>
      <c r="V108" s="28"/>
      <c r="W108" s="28"/>
      <c r="X108" s="29"/>
      <c r="Y108" s="28"/>
      <c r="Z108" s="28"/>
      <c r="AA108" s="28"/>
      <c r="AB108" s="22"/>
      <c r="AC108" s="29"/>
    </row>
    <row r="109" spans="1:29" ht="18" x14ac:dyDescent="0.2">
      <c r="A109" s="70"/>
      <c r="B109" s="27" t="s">
        <v>6</v>
      </c>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row>
    <row r="110" spans="1:29" ht="18" x14ac:dyDescent="0.2">
      <c r="A110" s="70"/>
      <c r="B110" s="27" t="s">
        <v>3</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row>
    <row r="111" spans="1:29" ht="18.75" customHeight="1" x14ac:dyDescent="0.2">
      <c r="A111" s="70" t="s">
        <v>316</v>
      </c>
      <c r="B111" s="27" t="s">
        <v>5</v>
      </c>
      <c r="C111" s="29"/>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2"/>
      <c r="AC111" s="28"/>
    </row>
    <row r="112" spans="1:29" ht="18" x14ac:dyDescent="0.2">
      <c r="A112" s="70"/>
      <c r="B112" s="27" t="s">
        <v>6</v>
      </c>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row>
    <row r="113" spans="1:29" ht="18" x14ac:dyDescent="0.2">
      <c r="A113" s="70"/>
      <c r="B113" s="27" t="s">
        <v>3</v>
      </c>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row>
    <row r="114" spans="1:29" ht="18.75" customHeight="1" x14ac:dyDescent="0.2">
      <c r="A114" s="70" t="s">
        <v>51</v>
      </c>
      <c r="B114" s="27" t="s">
        <v>5</v>
      </c>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2"/>
      <c r="AC114" s="28"/>
    </row>
    <row r="115" spans="1:29" ht="18" x14ac:dyDescent="0.2">
      <c r="A115" s="70"/>
      <c r="B115" s="27" t="s">
        <v>6</v>
      </c>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row>
    <row r="116" spans="1:29" ht="18" x14ac:dyDescent="0.2">
      <c r="A116" s="70"/>
      <c r="B116" s="27" t="s">
        <v>3</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row>
    <row r="117" spans="1:29" ht="18" x14ac:dyDescent="0.4">
      <c r="A117" s="4" t="s">
        <v>219</v>
      </c>
      <c r="B117" s="4"/>
      <c r="C117" s="4"/>
      <c r="D117" s="4"/>
      <c r="E117" s="4"/>
      <c r="F117" s="4"/>
      <c r="G117" s="4"/>
      <c r="H117" s="4"/>
      <c r="I117" s="4"/>
      <c r="J117" s="4"/>
      <c r="K117" s="4"/>
      <c r="L117" s="4"/>
      <c r="M117" s="4"/>
      <c r="N117" s="4"/>
      <c r="O117" s="4"/>
      <c r="P117" s="4"/>
      <c r="Q117" s="4"/>
      <c r="R117" s="4"/>
      <c r="S117" s="4"/>
      <c r="T117" s="4"/>
      <c r="U117" s="4"/>
      <c r="V117" s="4"/>
      <c r="W117" s="71" t="s">
        <v>173</v>
      </c>
      <c r="X117" s="71"/>
      <c r="Y117" s="71"/>
      <c r="Z117" s="71"/>
      <c r="AA117" s="71"/>
      <c r="AB117" s="71"/>
      <c r="AC117" s="71"/>
    </row>
    <row r="118" spans="1:29" ht="18" x14ac:dyDescent="0.4">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spans="1:29" ht="18" x14ac:dyDescent="0.4">
      <c r="A119" s="9"/>
      <c r="B119" s="9"/>
      <c r="C119" s="9"/>
      <c r="D119" s="9"/>
      <c r="E119" s="9"/>
      <c r="F119" s="9"/>
      <c r="G119" s="9"/>
      <c r="H119" s="9"/>
      <c r="I119" s="9"/>
      <c r="J119" s="9"/>
      <c r="K119" s="9"/>
      <c r="L119" s="9"/>
      <c r="M119" s="9"/>
      <c r="N119" s="9"/>
      <c r="O119" s="9"/>
      <c r="P119" s="72" t="s">
        <v>28</v>
      </c>
      <c r="Q119" s="72"/>
      <c r="R119" s="73" t="str">
        <f>R29</f>
        <v>พีรวัส</v>
      </c>
      <c r="S119" s="73"/>
      <c r="T119" s="73"/>
      <c r="U119" s="72" t="s">
        <v>30</v>
      </c>
      <c r="V119" s="72"/>
      <c r="W119" s="73" t="str">
        <f>W29</f>
        <v>วรพงศ์</v>
      </c>
      <c r="X119" s="73"/>
      <c r="Y119" s="73"/>
      <c r="Z119" s="8" t="s">
        <v>29</v>
      </c>
      <c r="AA119" s="74">
        <f>AA29</f>
        <v>46021</v>
      </c>
      <c r="AB119" s="74"/>
      <c r="AC119" s="74"/>
    </row>
    <row r="120" spans="1:29" ht="18" x14ac:dyDescent="0.4">
      <c r="A120" s="4"/>
      <c r="B120" s="4"/>
      <c r="C120" s="4"/>
      <c r="D120" s="4"/>
      <c r="E120" s="4"/>
      <c r="F120" s="4"/>
      <c r="G120" s="4"/>
      <c r="H120" s="4"/>
      <c r="I120" s="4"/>
      <c r="J120" s="4"/>
      <c r="K120" s="4"/>
      <c r="L120" s="4"/>
      <c r="M120" s="4"/>
      <c r="N120" s="4"/>
      <c r="O120" s="4"/>
      <c r="P120" s="12"/>
      <c r="Q120" s="12"/>
      <c r="R120" s="10"/>
      <c r="S120" s="10"/>
      <c r="T120" s="10"/>
      <c r="U120" s="12"/>
      <c r="V120" s="12"/>
      <c r="W120" s="10"/>
      <c r="X120" s="10"/>
      <c r="Y120" s="10"/>
      <c r="Z120" s="12"/>
      <c r="AA120" s="13"/>
      <c r="AB120" s="13"/>
      <c r="AC120" s="13"/>
    </row>
    <row r="121" spans="1:29" ht="23.25" x14ac:dyDescent="0.5">
      <c r="A121" s="80" t="s">
        <v>26</v>
      </c>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row>
    <row r="122" spans="1:29" s="1" customFormat="1" ht="21" x14ac:dyDescent="0.45">
      <c r="A122" s="6" t="s">
        <v>22</v>
      </c>
      <c r="B122" s="81" t="s">
        <v>54</v>
      </c>
      <c r="C122" s="81"/>
      <c r="D122" s="81"/>
      <c r="E122" s="81"/>
      <c r="F122" s="81"/>
      <c r="G122" s="81"/>
      <c r="H122" s="6" t="s">
        <v>24</v>
      </c>
      <c r="I122" s="82" t="s">
        <v>55</v>
      </c>
      <c r="J122" s="81"/>
      <c r="K122" s="81"/>
      <c r="L122" s="81"/>
      <c r="M122" s="83" t="s">
        <v>25</v>
      </c>
      <c r="N122" s="83"/>
      <c r="O122" s="81" t="s">
        <v>56</v>
      </c>
      <c r="P122" s="81"/>
      <c r="Q122" s="81"/>
      <c r="R122" s="81"/>
      <c r="S122" s="81"/>
      <c r="T122" s="6" t="s">
        <v>20</v>
      </c>
      <c r="U122" s="81">
        <f>$U$2</f>
        <v>2569</v>
      </c>
      <c r="V122" s="81"/>
      <c r="W122" s="83" t="s">
        <v>35</v>
      </c>
      <c r="X122" s="83"/>
      <c r="Y122" s="83"/>
      <c r="Z122" s="1" t="s">
        <v>286</v>
      </c>
    </row>
    <row r="123" spans="1:29" ht="18" x14ac:dyDescent="0.2">
      <c r="A123" s="20" t="s">
        <v>0</v>
      </c>
      <c r="B123" s="21" t="s">
        <v>2</v>
      </c>
      <c r="C123" s="75" t="s">
        <v>32</v>
      </c>
      <c r="D123" s="75"/>
      <c r="E123" s="75"/>
      <c r="F123" s="75"/>
      <c r="G123" s="75"/>
      <c r="H123" s="75" t="s">
        <v>7</v>
      </c>
      <c r="I123" s="75"/>
      <c r="J123" s="75"/>
      <c r="K123" s="75"/>
      <c r="L123" s="77" t="s">
        <v>8</v>
      </c>
      <c r="M123" s="78"/>
      <c r="N123" s="78"/>
      <c r="O123" s="79"/>
      <c r="P123" s="77" t="s">
        <v>9</v>
      </c>
      <c r="Q123" s="78"/>
      <c r="R123" s="78"/>
      <c r="S123" s="78"/>
      <c r="T123" s="79"/>
      <c r="U123" s="75" t="s">
        <v>10</v>
      </c>
      <c r="V123" s="75"/>
      <c r="W123" s="75"/>
      <c r="X123" s="75"/>
      <c r="Y123" s="75"/>
      <c r="Z123" s="75" t="s">
        <v>11</v>
      </c>
      <c r="AA123" s="75"/>
      <c r="AB123" s="75"/>
      <c r="AC123" s="75"/>
    </row>
    <row r="124" spans="1:29" ht="18" x14ac:dyDescent="0.2">
      <c r="A124" s="23" t="s">
        <v>1</v>
      </c>
      <c r="B124" s="24" t="s">
        <v>3</v>
      </c>
      <c r="C124" s="28" t="str">
        <f t="shared" ref="C124:AC124" si="6">C64</f>
        <v>1-5</v>
      </c>
      <c r="D124" s="28" t="str">
        <f t="shared" si="6"/>
        <v>6-12</v>
      </c>
      <c r="E124" s="28" t="str">
        <f t="shared" si="6"/>
        <v>13-19</v>
      </c>
      <c r="F124" s="28" t="str">
        <f t="shared" si="6"/>
        <v>20-26</v>
      </c>
      <c r="G124" s="28" t="str">
        <f t="shared" si="6"/>
        <v>27-31</v>
      </c>
      <c r="H124" s="28" t="str">
        <f t="shared" si="6"/>
        <v>1-9</v>
      </c>
      <c r="I124" s="28" t="str">
        <f t="shared" si="6"/>
        <v>10-16</v>
      </c>
      <c r="J124" s="28" t="str">
        <f t="shared" si="6"/>
        <v>17-23</v>
      </c>
      <c r="K124" s="28" t="str">
        <f t="shared" si="6"/>
        <v>24-28</v>
      </c>
      <c r="L124" s="28" t="str">
        <f t="shared" si="6"/>
        <v>1-9</v>
      </c>
      <c r="M124" s="28" t="str">
        <f t="shared" si="6"/>
        <v>10-16</v>
      </c>
      <c r="N124" s="28" t="str">
        <f t="shared" si="6"/>
        <v>17-23</v>
      </c>
      <c r="O124" s="28" t="str">
        <f t="shared" si="6"/>
        <v>24-31</v>
      </c>
      <c r="P124" s="28" t="str">
        <f t="shared" si="6"/>
        <v>1-6</v>
      </c>
      <c r="Q124" s="28" t="str">
        <f t="shared" si="6"/>
        <v>7-13</v>
      </c>
      <c r="R124" s="28" t="str">
        <f t="shared" si="6"/>
        <v>14-20</v>
      </c>
      <c r="S124" s="28" t="str">
        <f t="shared" si="6"/>
        <v>21-27</v>
      </c>
      <c r="T124" s="28" t="str">
        <f t="shared" si="6"/>
        <v>28-30</v>
      </c>
      <c r="U124" s="28" t="str">
        <f t="shared" si="6"/>
        <v>1-4</v>
      </c>
      <c r="V124" s="28" t="str">
        <f t="shared" si="6"/>
        <v>5-11</v>
      </c>
      <c r="W124" s="28" t="str">
        <f t="shared" si="6"/>
        <v>12-18</v>
      </c>
      <c r="X124" s="28" t="str">
        <f t="shared" si="6"/>
        <v>19-25</v>
      </c>
      <c r="Y124" s="28" t="str">
        <f t="shared" si="6"/>
        <v>26-31</v>
      </c>
      <c r="Z124" s="28" t="str">
        <f t="shared" si="6"/>
        <v>1-8</v>
      </c>
      <c r="AA124" s="28" t="str">
        <f t="shared" si="6"/>
        <v>9-15</v>
      </c>
      <c r="AB124" s="28" t="str">
        <f t="shared" si="6"/>
        <v>16-22</v>
      </c>
      <c r="AC124" s="28" t="str">
        <f t="shared" si="6"/>
        <v>23-30</v>
      </c>
    </row>
    <row r="125" spans="1:29" ht="18" x14ac:dyDescent="0.2">
      <c r="A125" s="25"/>
      <c r="B125" s="26" t="s">
        <v>4</v>
      </c>
      <c r="C125" s="22" t="s">
        <v>12</v>
      </c>
      <c r="D125" s="22" t="s">
        <v>12</v>
      </c>
      <c r="E125" s="22" t="s">
        <v>12</v>
      </c>
      <c r="F125" s="22" t="s">
        <v>12</v>
      </c>
      <c r="G125" s="22" t="s">
        <v>12</v>
      </c>
      <c r="H125" s="22" t="s">
        <v>12</v>
      </c>
      <c r="I125" s="22" t="s">
        <v>12</v>
      </c>
      <c r="J125" s="22" t="s">
        <v>12</v>
      </c>
      <c r="K125" s="22" t="s">
        <v>12</v>
      </c>
      <c r="L125" s="22" t="s">
        <v>12</v>
      </c>
      <c r="M125" s="22" t="s">
        <v>12</v>
      </c>
      <c r="N125" s="22" t="s">
        <v>12</v>
      </c>
      <c r="O125" s="22" t="s">
        <v>12</v>
      </c>
      <c r="P125" s="22" t="s">
        <v>12</v>
      </c>
      <c r="Q125" s="22" t="s">
        <v>12</v>
      </c>
      <c r="R125" s="22" t="s">
        <v>12</v>
      </c>
      <c r="S125" s="22" t="s">
        <v>12</v>
      </c>
      <c r="T125" s="22" t="s">
        <v>12</v>
      </c>
      <c r="U125" s="22" t="s">
        <v>12</v>
      </c>
      <c r="V125" s="22" t="s">
        <v>12</v>
      </c>
      <c r="W125" s="22" t="s">
        <v>12</v>
      </c>
      <c r="X125" s="22" t="s">
        <v>12</v>
      </c>
      <c r="Y125" s="22" t="s">
        <v>12</v>
      </c>
      <c r="Z125" s="22" t="s">
        <v>12</v>
      </c>
      <c r="AA125" s="22" t="s">
        <v>12</v>
      </c>
      <c r="AB125" s="22" t="s">
        <v>12</v>
      </c>
      <c r="AC125" s="22" t="s">
        <v>12</v>
      </c>
    </row>
    <row r="126" spans="1:29" ht="18.75" customHeight="1" x14ac:dyDescent="0.2">
      <c r="A126" s="70" t="s">
        <v>312</v>
      </c>
      <c r="B126" s="27" t="s">
        <v>5</v>
      </c>
      <c r="C126" s="28"/>
      <c r="D126" s="28"/>
      <c r="E126" s="28"/>
      <c r="F126" s="28"/>
      <c r="G126" s="29"/>
      <c r="H126" s="28"/>
      <c r="I126" s="28"/>
      <c r="J126" s="28"/>
      <c r="K126" s="29"/>
      <c r="L126" s="28"/>
      <c r="M126" s="28"/>
      <c r="N126" s="28"/>
      <c r="O126" s="28"/>
      <c r="P126" s="29"/>
      <c r="Q126" s="28"/>
      <c r="R126" s="28"/>
      <c r="S126" s="28"/>
      <c r="T126" s="29"/>
      <c r="U126" s="28"/>
      <c r="V126" s="28"/>
      <c r="W126" s="28"/>
      <c r="X126" s="28"/>
      <c r="Y126" s="29"/>
      <c r="Z126" s="28"/>
      <c r="AA126" s="28"/>
      <c r="AB126" s="22"/>
      <c r="AC126" s="29"/>
    </row>
    <row r="127" spans="1:29" ht="18" x14ac:dyDescent="0.2">
      <c r="A127" s="70"/>
      <c r="B127" s="27" t="s">
        <v>6</v>
      </c>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row>
    <row r="128" spans="1:29" ht="18" x14ac:dyDescent="0.2">
      <c r="A128" s="70"/>
      <c r="B128" s="27" t="s">
        <v>3</v>
      </c>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row>
    <row r="129" spans="1:29" ht="18.75" customHeight="1" x14ac:dyDescent="0.2">
      <c r="A129" s="70" t="s">
        <v>316</v>
      </c>
      <c r="B129" s="27" t="s">
        <v>5</v>
      </c>
      <c r="C129" s="35"/>
      <c r="D129" s="28"/>
      <c r="E129" s="35"/>
      <c r="F129" s="35"/>
      <c r="G129" s="29"/>
      <c r="H129" s="28"/>
      <c r="I129" s="28"/>
      <c r="J129" s="28"/>
      <c r="K129" s="29"/>
      <c r="L129" s="28"/>
      <c r="M129" s="28"/>
      <c r="N129" s="28"/>
      <c r="O129" s="28"/>
      <c r="P129" s="29"/>
      <c r="Q129" s="28"/>
      <c r="R129" s="28"/>
      <c r="S129" s="28"/>
      <c r="T129" s="29"/>
      <c r="U129" s="28"/>
      <c r="V129" s="28"/>
      <c r="W129" s="28"/>
      <c r="X129" s="28"/>
      <c r="Y129" s="29"/>
      <c r="Z129" s="28"/>
      <c r="AA129" s="28"/>
      <c r="AB129" s="22"/>
      <c r="AC129" s="29"/>
    </row>
    <row r="130" spans="1:29" ht="18" x14ac:dyDescent="0.2">
      <c r="A130" s="70"/>
      <c r="B130" s="27" t="s">
        <v>6</v>
      </c>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row>
    <row r="131" spans="1:29" ht="18" x14ac:dyDescent="0.2">
      <c r="A131" s="70"/>
      <c r="B131" s="27" t="s">
        <v>3</v>
      </c>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row>
    <row r="132" spans="1:29" ht="18.75" customHeight="1" x14ac:dyDescent="0.2">
      <c r="A132" s="70" t="s">
        <v>51</v>
      </c>
      <c r="B132" s="27" t="s">
        <v>5</v>
      </c>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2"/>
      <c r="AC132" s="28"/>
    </row>
    <row r="133" spans="1:29" ht="18" x14ac:dyDescent="0.2">
      <c r="A133" s="70"/>
      <c r="B133" s="27" t="s">
        <v>6</v>
      </c>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row>
    <row r="134" spans="1:29" ht="18" x14ac:dyDescent="0.2">
      <c r="A134" s="70"/>
      <c r="B134" s="27" t="s">
        <v>3</v>
      </c>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row>
    <row r="135" spans="1:29" ht="18" x14ac:dyDescent="0.2">
      <c r="A135" s="20" t="s">
        <v>0</v>
      </c>
      <c r="B135" s="21" t="s">
        <v>2</v>
      </c>
      <c r="C135" s="76" t="s">
        <v>13</v>
      </c>
      <c r="D135" s="76"/>
      <c r="E135" s="76"/>
      <c r="F135" s="76"/>
      <c r="G135" s="76"/>
      <c r="H135" s="76" t="s">
        <v>14</v>
      </c>
      <c r="I135" s="76"/>
      <c r="J135" s="76"/>
      <c r="K135" s="76"/>
      <c r="L135" s="76" t="s">
        <v>15</v>
      </c>
      <c r="M135" s="76"/>
      <c r="N135" s="76"/>
      <c r="O135" s="76"/>
      <c r="P135" s="76" t="s">
        <v>16</v>
      </c>
      <c r="Q135" s="76"/>
      <c r="R135" s="76"/>
      <c r="S135" s="76"/>
      <c r="T135" s="76"/>
      <c r="U135" s="76" t="s">
        <v>17</v>
      </c>
      <c r="V135" s="76"/>
      <c r="W135" s="76"/>
      <c r="X135" s="76"/>
      <c r="Y135" s="76" t="s">
        <v>18</v>
      </c>
      <c r="Z135" s="76"/>
      <c r="AA135" s="76"/>
      <c r="AB135" s="76"/>
      <c r="AC135" s="76"/>
    </row>
    <row r="136" spans="1:29" ht="18" x14ac:dyDescent="0.2">
      <c r="A136" s="20" t="s">
        <v>1</v>
      </c>
      <c r="B136" s="24" t="s">
        <v>3</v>
      </c>
      <c r="C136" s="35" t="str">
        <f t="shared" ref="C136:AC136" si="7">C76</f>
        <v>1-6</v>
      </c>
      <c r="D136" s="35" t="str">
        <f t="shared" si="7"/>
        <v>7-13</v>
      </c>
      <c r="E136" s="35" t="str">
        <f t="shared" si="7"/>
        <v>14-20</v>
      </c>
      <c r="F136" s="35" t="str">
        <f t="shared" si="7"/>
        <v>21-27</v>
      </c>
      <c r="G136" s="35" t="str">
        <f t="shared" si="7"/>
        <v>28-31</v>
      </c>
      <c r="H136" s="35" t="str">
        <f t="shared" si="7"/>
        <v>1-10</v>
      </c>
      <c r="I136" s="35" t="str">
        <f t="shared" si="7"/>
        <v>11-17</v>
      </c>
      <c r="J136" s="35" t="str">
        <f t="shared" si="7"/>
        <v>18-24</v>
      </c>
      <c r="K136" s="35" t="str">
        <f t="shared" si="7"/>
        <v>25-31</v>
      </c>
      <c r="L136" s="35" t="str">
        <f t="shared" si="7"/>
        <v>1-7</v>
      </c>
      <c r="M136" s="35" t="str">
        <f t="shared" si="7"/>
        <v>8-14</v>
      </c>
      <c r="N136" s="35" t="str">
        <f t="shared" si="7"/>
        <v>15-21</v>
      </c>
      <c r="O136" s="35" t="str">
        <f t="shared" si="7"/>
        <v>22-30</v>
      </c>
      <c r="P136" s="35" t="str">
        <f t="shared" si="7"/>
        <v>1-5</v>
      </c>
      <c r="Q136" s="35" t="str">
        <f t="shared" si="7"/>
        <v>6-12</v>
      </c>
      <c r="R136" s="35" t="str">
        <f t="shared" si="7"/>
        <v>13-19</v>
      </c>
      <c r="S136" s="35" t="str">
        <f t="shared" si="7"/>
        <v>20-26</v>
      </c>
      <c r="T136" s="35" t="str">
        <f t="shared" si="7"/>
        <v>27-31</v>
      </c>
      <c r="U136" s="35" t="str">
        <f t="shared" si="7"/>
        <v>1-9</v>
      </c>
      <c r="V136" s="35" t="str">
        <f t="shared" si="7"/>
        <v>10-16</v>
      </c>
      <c r="W136" s="35" t="str">
        <f t="shared" si="7"/>
        <v>17-23</v>
      </c>
      <c r="X136" s="35" t="str">
        <f t="shared" si="7"/>
        <v>24-30</v>
      </c>
      <c r="Y136" s="35" t="str">
        <f t="shared" si="7"/>
        <v>1-7</v>
      </c>
      <c r="Z136" s="35" t="str">
        <f t="shared" si="7"/>
        <v>8-14</v>
      </c>
      <c r="AA136" s="35" t="str">
        <f t="shared" si="7"/>
        <v>15-21</v>
      </c>
      <c r="AB136" s="35" t="str">
        <f t="shared" si="7"/>
        <v>22-28</v>
      </c>
      <c r="AC136" s="35" t="str">
        <f t="shared" si="7"/>
        <v>29-31</v>
      </c>
    </row>
    <row r="137" spans="1:29" ht="18" x14ac:dyDescent="0.2">
      <c r="A137" s="34"/>
      <c r="B137" s="26" t="s">
        <v>4</v>
      </c>
      <c r="C137" s="22" t="s">
        <v>12</v>
      </c>
      <c r="D137" s="22" t="s">
        <v>12</v>
      </c>
      <c r="E137" s="22" t="s">
        <v>12</v>
      </c>
      <c r="F137" s="22" t="s">
        <v>12</v>
      </c>
      <c r="G137" s="22" t="s">
        <v>12</v>
      </c>
      <c r="H137" s="22" t="s">
        <v>12</v>
      </c>
      <c r="I137" s="22" t="s">
        <v>12</v>
      </c>
      <c r="J137" s="22" t="s">
        <v>12</v>
      </c>
      <c r="K137" s="22" t="s">
        <v>12</v>
      </c>
      <c r="L137" s="22" t="s">
        <v>12</v>
      </c>
      <c r="M137" s="22" t="s">
        <v>12</v>
      </c>
      <c r="N137" s="22" t="s">
        <v>12</v>
      </c>
      <c r="O137" s="22" t="s">
        <v>12</v>
      </c>
      <c r="P137" s="22" t="s">
        <v>12</v>
      </c>
      <c r="Q137" s="22" t="s">
        <v>12</v>
      </c>
      <c r="R137" s="22" t="s">
        <v>12</v>
      </c>
      <c r="S137" s="22" t="s">
        <v>12</v>
      </c>
      <c r="T137" s="22" t="s">
        <v>12</v>
      </c>
      <c r="U137" s="22" t="s">
        <v>12</v>
      </c>
      <c r="V137" s="22" t="s">
        <v>12</v>
      </c>
      <c r="W137" s="22" t="s">
        <v>12</v>
      </c>
      <c r="X137" s="22" t="s">
        <v>12</v>
      </c>
      <c r="Y137" s="22" t="s">
        <v>12</v>
      </c>
      <c r="Z137" s="22" t="s">
        <v>12</v>
      </c>
      <c r="AA137" s="22" t="s">
        <v>12</v>
      </c>
      <c r="AB137" s="22" t="s">
        <v>12</v>
      </c>
      <c r="AC137" s="22" t="s">
        <v>12</v>
      </c>
    </row>
    <row r="138" spans="1:29" ht="18.75" customHeight="1" x14ac:dyDescent="0.2">
      <c r="A138" s="70" t="s">
        <v>312</v>
      </c>
      <c r="B138" s="27" t="s">
        <v>5</v>
      </c>
      <c r="C138" s="28"/>
      <c r="D138" s="28"/>
      <c r="E138" s="28"/>
      <c r="F138" s="28"/>
      <c r="G138" s="29"/>
      <c r="H138" s="28"/>
      <c r="I138" s="28"/>
      <c r="J138" s="28"/>
      <c r="K138" s="29"/>
      <c r="L138" s="28"/>
      <c r="M138" s="28"/>
      <c r="N138" s="28"/>
      <c r="O138" s="29"/>
      <c r="P138" s="28"/>
      <c r="Q138" s="28"/>
      <c r="R138" s="28"/>
      <c r="S138" s="28"/>
      <c r="T138" s="29"/>
      <c r="U138" s="28"/>
      <c r="V138" s="28"/>
      <c r="W138" s="28"/>
      <c r="X138" s="29"/>
      <c r="Y138" s="28"/>
      <c r="Z138" s="28"/>
      <c r="AA138" s="28"/>
      <c r="AB138" s="22"/>
      <c r="AC138" s="29"/>
    </row>
    <row r="139" spans="1:29" ht="18" x14ac:dyDescent="0.2">
      <c r="A139" s="70"/>
      <c r="B139" s="27" t="s">
        <v>6</v>
      </c>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row>
    <row r="140" spans="1:29" ht="18" x14ac:dyDescent="0.2">
      <c r="A140" s="70"/>
      <c r="B140" s="27" t="s">
        <v>3</v>
      </c>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row>
    <row r="141" spans="1:29" ht="18.75" customHeight="1" x14ac:dyDescent="0.2">
      <c r="A141" s="70" t="s">
        <v>316</v>
      </c>
      <c r="B141" s="27" t="s">
        <v>5</v>
      </c>
      <c r="C141" s="29"/>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2"/>
      <c r="AC141" s="28"/>
    </row>
    <row r="142" spans="1:29" ht="18" x14ac:dyDescent="0.2">
      <c r="A142" s="70"/>
      <c r="B142" s="27" t="s">
        <v>6</v>
      </c>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row>
    <row r="143" spans="1:29" ht="18" x14ac:dyDescent="0.2">
      <c r="A143" s="70"/>
      <c r="B143" s="27" t="s">
        <v>3</v>
      </c>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row>
    <row r="144" spans="1:29" ht="18.75" customHeight="1" x14ac:dyDescent="0.2">
      <c r="A144" s="70" t="s">
        <v>51</v>
      </c>
      <c r="B144" s="27" t="s">
        <v>5</v>
      </c>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2"/>
      <c r="AC144" s="28"/>
    </row>
    <row r="145" spans="1:29" ht="18" x14ac:dyDescent="0.2">
      <c r="A145" s="70"/>
      <c r="B145" s="27" t="s">
        <v>6</v>
      </c>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row>
    <row r="146" spans="1:29" ht="18" x14ac:dyDescent="0.2">
      <c r="A146" s="70"/>
      <c r="B146" s="27" t="s">
        <v>3</v>
      </c>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row>
    <row r="147" spans="1:29" ht="18" x14ac:dyDescent="0.4">
      <c r="A147" s="4" t="s">
        <v>219</v>
      </c>
      <c r="B147" s="4"/>
      <c r="C147" s="4"/>
      <c r="D147" s="4"/>
      <c r="E147" s="4"/>
      <c r="F147" s="4"/>
      <c r="G147" s="4"/>
      <c r="H147" s="4"/>
      <c r="I147" s="4"/>
      <c r="J147" s="4"/>
      <c r="K147" s="4"/>
      <c r="L147" s="4"/>
      <c r="M147" s="4"/>
      <c r="N147" s="4"/>
      <c r="O147" s="4"/>
      <c r="P147" s="4"/>
      <c r="Q147" s="4"/>
      <c r="R147" s="4"/>
      <c r="S147" s="4"/>
      <c r="T147" s="4"/>
      <c r="U147" s="4"/>
      <c r="V147" s="4"/>
      <c r="W147" s="71" t="s">
        <v>173</v>
      </c>
      <c r="X147" s="71"/>
      <c r="Y147" s="71"/>
      <c r="Z147" s="71"/>
      <c r="AA147" s="71"/>
      <c r="AB147" s="71"/>
      <c r="AC147" s="71"/>
    </row>
    <row r="148" spans="1:29" ht="18" x14ac:dyDescent="0.4">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ht="18" x14ac:dyDescent="0.4">
      <c r="A149" s="9"/>
      <c r="B149" s="9"/>
      <c r="C149" s="9"/>
      <c r="D149" s="9"/>
      <c r="E149" s="9"/>
      <c r="F149" s="9"/>
      <c r="G149" s="9"/>
      <c r="H149" s="9"/>
      <c r="I149" s="9"/>
      <c r="J149" s="9"/>
      <c r="K149" s="9"/>
      <c r="L149" s="9"/>
      <c r="M149" s="9"/>
      <c r="N149" s="9"/>
      <c r="O149" s="9"/>
      <c r="P149" s="72" t="s">
        <v>28</v>
      </c>
      <c r="Q149" s="72"/>
      <c r="R149" s="73" t="str">
        <f>R89</f>
        <v>พีรวัส</v>
      </c>
      <c r="S149" s="73"/>
      <c r="T149" s="73"/>
      <c r="U149" s="72" t="s">
        <v>30</v>
      </c>
      <c r="V149" s="72"/>
      <c r="W149" s="73" t="str">
        <f>W89</f>
        <v>วรพงศ์</v>
      </c>
      <c r="X149" s="73"/>
      <c r="Y149" s="73"/>
      <c r="Z149" s="8" t="s">
        <v>29</v>
      </c>
      <c r="AA149" s="74">
        <f>AA89</f>
        <v>46021</v>
      </c>
      <c r="AB149" s="74"/>
      <c r="AC149" s="74"/>
    </row>
    <row r="150" spans="1:29" ht="18" x14ac:dyDescent="0.4">
      <c r="A150" s="4"/>
      <c r="B150" s="4"/>
      <c r="C150" s="4"/>
      <c r="D150" s="4"/>
      <c r="E150" s="4"/>
      <c r="F150" s="4"/>
      <c r="G150" s="4"/>
      <c r="H150" s="4"/>
      <c r="I150" s="4"/>
      <c r="J150" s="4"/>
      <c r="K150" s="4"/>
      <c r="L150" s="4"/>
      <c r="M150" s="4"/>
      <c r="N150" s="4"/>
      <c r="O150" s="4"/>
      <c r="P150" s="12"/>
      <c r="Q150" s="12"/>
      <c r="R150" s="10"/>
      <c r="S150" s="10"/>
      <c r="T150" s="10"/>
      <c r="U150" s="12"/>
      <c r="V150" s="12"/>
      <c r="W150" s="10"/>
      <c r="X150" s="10"/>
      <c r="Y150" s="10"/>
      <c r="Z150" s="12"/>
      <c r="AA150" s="13"/>
      <c r="AB150" s="13"/>
      <c r="AC150" s="13"/>
    </row>
    <row r="151" spans="1:29" ht="23.25" x14ac:dyDescent="0.5">
      <c r="A151" s="80" t="s">
        <v>26</v>
      </c>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row>
    <row r="152" spans="1:29" s="1" customFormat="1" ht="21" x14ac:dyDescent="0.45">
      <c r="A152" s="6" t="s">
        <v>22</v>
      </c>
      <c r="B152" s="81" t="s">
        <v>232</v>
      </c>
      <c r="C152" s="81"/>
      <c r="D152" s="81"/>
      <c r="E152" s="81"/>
      <c r="F152" s="81"/>
      <c r="G152" s="81"/>
      <c r="H152" s="6" t="s">
        <v>24</v>
      </c>
      <c r="I152" s="84" t="s">
        <v>197</v>
      </c>
      <c r="J152" s="88"/>
      <c r="K152" s="88"/>
      <c r="L152" s="88"/>
      <c r="M152" s="83" t="s">
        <v>25</v>
      </c>
      <c r="N152" s="83"/>
      <c r="O152" s="81" t="s">
        <v>57</v>
      </c>
      <c r="P152" s="81"/>
      <c r="Q152" s="81"/>
      <c r="R152" s="81"/>
      <c r="S152" s="81"/>
      <c r="T152" s="6" t="s">
        <v>20</v>
      </c>
      <c r="U152" s="81">
        <f>$U$2</f>
        <v>2569</v>
      </c>
      <c r="V152" s="81"/>
      <c r="W152" s="83" t="s">
        <v>35</v>
      </c>
      <c r="X152" s="83"/>
      <c r="Y152" s="83"/>
      <c r="Z152" s="1" t="s">
        <v>195</v>
      </c>
    </row>
    <row r="153" spans="1:29" ht="18" x14ac:dyDescent="0.2">
      <c r="A153" s="20" t="s">
        <v>0</v>
      </c>
      <c r="B153" s="21" t="s">
        <v>2</v>
      </c>
      <c r="C153" s="75" t="s">
        <v>32</v>
      </c>
      <c r="D153" s="75"/>
      <c r="E153" s="75"/>
      <c r="F153" s="75"/>
      <c r="G153" s="75"/>
      <c r="H153" s="75" t="s">
        <v>7</v>
      </c>
      <c r="I153" s="75"/>
      <c r="J153" s="75"/>
      <c r="K153" s="75"/>
      <c r="L153" s="77" t="s">
        <v>8</v>
      </c>
      <c r="M153" s="78"/>
      <c r="N153" s="78"/>
      <c r="O153" s="79"/>
      <c r="P153" s="77" t="s">
        <v>9</v>
      </c>
      <c r="Q153" s="78"/>
      <c r="R153" s="78"/>
      <c r="S153" s="78"/>
      <c r="T153" s="79"/>
      <c r="U153" s="75" t="s">
        <v>10</v>
      </c>
      <c r="V153" s="75"/>
      <c r="W153" s="75"/>
      <c r="X153" s="75"/>
      <c r="Y153" s="75"/>
      <c r="Z153" s="75" t="s">
        <v>11</v>
      </c>
      <c r="AA153" s="75"/>
      <c r="AB153" s="75"/>
      <c r="AC153" s="75"/>
    </row>
    <row r="154" spans="1:29" ht="18" x14ac:dyDescent="0.2">
      <c r="A154" s="23" t="s">
        <v>1</v>
      </c>
      <c r="B154" s="24" t="s">
        <v>3</v>
      </c>
      <c r="C154" s="28" t="str">
        <f t="shared" ref="C154:AC154" si="8">C94</f>
        <v>1-5</v>
      </c>
      <c r="D154" s="28" t="str">
        <f t="shared" si="8"/>
        <v>6-12</v>
      </c>
      <c r="E154" s="28" t="str">
        <f t="shared" si="8"/>
        <v>13-19</v>
      </c>
      <c r="F154" s="28" t="str">
        <f t="shared" si="8"/>
        <v>20-26</v>
      </c>
      <c r="G154" s="28" t="str">
        <f t="shared" si="8"/>
        <v>27-31</v>
      </c>
      <c r="H154" s="28" t="str">
        <f t="shared" si="8"/>
        <v>1-9</v>
      </c>
      <c r="I154" s="28" t="str">
        <f t="shared" si="8"/>
        <v>10-16</v>
      </c>
      <c r="J154" s="28" t="str">
        <f t="shared" si="8"/>
        <v>17-23</v>
      </c>
      <c r="K154" s="28" t="str">
        <f t="shared" si="8"/>
        <v>24-28</v>
      </c>
      <c r="L154" s="28" t="str">
        <f t="shared" si="8"/>
        <v>1-9</v>
      </c>
      <c r="M154" s="28" t="str">
        <f t="shared" si="8"/>
        <v>10-16</v>
      </c>
      <c r="N154" s="28" t="str">
        <f t="shared" si="8"/>
        <v>17-23</v>
      </c>
      <c r="O154" s="28" t="str">
        <f t="shared" si="8"/>
        <v>24-31</v>
      </c>
      <c r="P154" s="28" t="str">
        <f t="shared" si="8"/>
        <v>1-6</v>
      </c>
      <c r="Q154" s="28" t="str">
        <f t="shared" si="8"/>
        <v>7-13</v>
      </c>
      <c r="R154" s="28" t="str">
        <f t="shared" si="8"/>
        <v>14-20</v>
      </c>
      <c r="S154" s="28" t="str">
        <f t="shared" si="8"/>
        <v>21-27</v>
      </c>
      <c r="T154" s="28" t="str">
        <f t="shared" si="8"/>
        <v>28-30</v>
      </c>
      <c r="U154" s="28" t="str">
        <f t="shared" si="8"/>
        <v>1-4</v>
      </c>
      <c r="V154" s="28" t="str">
        <f t="shared" si="8"/>
        <v>5-11</v>
      </c>
      <c r="W154" s="28" t="str">
        <f t="shared" si="8"/>
        <v>12-18</v>
      </c>
      <c r="X154" s="28" t="str">
        <f t="shared" si="8"/>
        <v>19-25</v>
      </c>
      <c r="Y154" s="28" t="str">
        <f t="shared" si="8"/>
        <v>26-31</v>
      </c>
      <c r="Z154" s="28" t="str">
        <f t="shared" si="8"/>
        <v>1-8</v>
      </c>
      <c r="AA154" s="28" t="str">
        <f t="shared" si="8"/>
        <v>9-15</v>
      </c>
      <c r="AB154" s="28" t="str">
        <f t="shared" si="8"/>
        <v>16-22</v>
      </c>
      <c r="AC154" s="28" t="str">
        <f t="shared" si="8"/>
        <v>23-30</v>
      </c>
    </row>
    <row r="155" spans="1:29" ht="18" x14ac:dyDescent="0.2">
      <c r="A155" s="25"/>
      <c r="B155" s="26" t="s">
        <v>4</v>
      </c>
      <c r="C155" s="22" t="s">
        <v>12</v>
      </c>
      <c r="D155" s="22" t="s">
        <v>12</v>
      </c>
      <c r="E155" s="22" t="s">
        <v>12</v>
      </c>
      <c r="F155" s="22" t="s">
        <v>12</v>
      </c>
      <c r="G155" s="22" t="s">
        <v>12</v>
      </c>
      <c r="H155" s="22" t="s">
        <v>12</v>
      </c>
      <c r="I155" s="22" t="s">
        <v>12</v>
      </c>
      <c r="J155" s="22" t="s">
        <v>12</v>
      </c>
      <c r="K155" s="22" t="s">
        <v>12</v>
      </c>
      <c r="L155" s="22" t="s">
        <v>12</v>
      </c>
      <c r="M155" s="22" t="s">
        <v>12</v>
      </c>
      <c r="N155" s="22" t="s">
        <v>12</v>
      </c>
      <c r="O155" s="22" t="s">
        <v>12</v>
      </c>
      <c r="P155" s="22" t="s">
        <v>12</v>
      </c>
      <c r="Q155" s="22" t="s">
        <v>12</v>
      </c>
      <c r="R155" s="22" t="s">
        <v>12</v>
      </c>
      <c r="S155" s="22" t="s">
        <v>12</v>
      </c>
      <c r="T155" s="22" t="s">
        <v>12</v>
      </c>
      <c r="U155" s="22" t="s">
        <v>12</v>
      </c>
      <c r="V155" s="22" t="s">
        <v>12</v>
      </c>
      <c r="W155" s="22" t="s">
        <v>12</v>
      </c>
      <c r="X155" s="22" t="s">
        <v>12</v>
      </c>
      <c r="Y155" s="22" t="s">
        <v>12</v>
      </c>
      <c r="Z155" s="22" t="s">
        <v>12</v>
      </c>
      <c r="AA155" s="22" t="s">
        <v>12</v>
      </c>
      <c r="AB155" s="22" t="s">
        <v>12</v>
      </c>
      <c r="AC155" s="22" t="s">
        <v>12</v>
      </c>
    </row>
    <row r="156" spans="1:29" ht="18.75" customHeight="1" x14ac:dyDescent="0.2">
      <c r="A156" s="70" t="s">
        <v>198</v>
      </c>
      <c r="B156" s="27" t="s">
        <v>5</v>
      </c>
      <c r="C156" s="28"/>
      <c r="D156" s="28"/>
      <c r="E156" s="28"/>
      <c r="F156" s="28"/>
      <c r="G156" s="29"/>
      <c r="H156" s="28"/>
      <c r="I156" s="28"/>
      <c r="J156" s="28"/>
      <c r="K156" s="29"/>
      <c r="L156" s="28"/>
      <c r="M156" s="28"/>
      <c r="N156" s="28"/>
      <c r="O156" s="28"/>
      <c r="P156" s="28"/>
      <c r="Q156" s="28"/>
      <c r="R156" s="28"/>
      <c r="S156" s="28"/>
      <c r="T156" s="29"/>
      <c r="U156" s="28"/>
      <c r="V156" s="28"/>
      <c r="W156" s="28"/>
      <c r="X156" s="28"/>
      <c r="Y156" s="29"/>
      <c r="Z156" s="28"/>
      <c r="AA156" s="28"/>
      <c r="AB156" s="22"/>
      <c r="AC156" s="29"/>
    </row>
    <row r="157" spans="1:29" ht="18" x14ac:dyDescent="0.2">
      <c r="A157" s="70"/>
      <c r="B157" s="27" t="s">
        <v>6</v>
      </c>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row>
    <row r="158" spans="1:29" ht="18" x14ac:dyDescent="0.2">
      <c r="A158" s="70"/>
      <c r="B158" s="27" t="s">
        <v>3</v>
      </c>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row>
    <row r="159" spans="1:29" ht="18.75" customHeight="1" x14ac:dyDescent="0.2">
      <c r="A159" s="70" t="s">
        <v>199</v>
      </c>
      <c r="B159" s="27" t="s">
        <v>5</v>
      </c>
      <c r="C159" s="35"/>
      <c r="D159" s="28"/>
      <c r="E159" s="35"/>
      <c r="F159" s="35"/>
      <c r="G159" s="29"/>
      <c r="H159" s="28"/>
      <c r="I159" s="28"/>
      <c r="J159" s="28"/>
      <c r="K159" s="29"/>
      <c r="L159" s="28"/>
      <c r="M159" s="28"/>
      <c r="N159" s="28"/>
      <c r="O159" s="28"/>
      <c r="P159" s="29"/>
      <c r="Q159" s="28"/>
      <c r="R159" s="28"/>
      <c r="S159" s="28"/>
      <c r="T159" s="29"/>
      <c r="U159" s="28"/>
      <c r="V159" s="28"/>
      <c r="W159" s="28"/>
      <c r="X159" s="28"/>
      <c r="Y159" s="29"/>
      <c r="Z159" s="28"/>
      <c r="AA159" s="28"/>
      <c r="AB159" s="22"/>
      <c r="AC159" s="29"/>
    </row>
    <row r="160" spans="1:29" ht="18" x14ac:dyDescent="0.2">
      <c r="A160" s="70"/>
      <c r="B160" s="27" t="s">
        <v>6</v>
      </c>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row>
    <row r="161" spans="1:29" ht="18" x14ac:dyDescent="0.2">
      <c r="A161" s="70"/>
      <c r="B161" s="27" t="s">
        <v>3</v>
      </c>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row>
    <row r="162" spans="1:29" ht="18.75" customHeight="1" x14ac:dyDescent="0.2">
      <c r="A162" s="70" t="s">
        <v>91</v>
      </c>
      <c r="B162" s="27" t="s">
        <v>5</v>
      </c>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2"/>
      <c r="AC162" s="28"/>
    </row>
    <row r="163" spans="1:29" ht="18" x14ac:dyDescent="0.2">
      <c r="A163" s="70"/>
      <c r="B163" s="27" t="s">
        <v>6</v>
      </c>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row>
    <row r="164" spans="1:29" ht="18" x14ac:dyDescent="0.2">
      <c r="A164" s="70"/>
      <c r="B164" s="27" t="s">
        <v>3</v>
      </c>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row>
    <row r="165" spans="1:29" ht="18" x14ac:dyDescent="0.2">
      <c r="A165" s="20" t="s">
        <v>0</v>
      </c>
      <c r="B165" s="21" t="s">
        <v>2</v>
      </c>
      <c r="C165" s="76" t="s">
        <v>13</v>
      </c>
      <c r="D165" s="76"/>
      <c r="E165" s="76"/>
      <c r="F165" s="76"/>
      <c r="G165" s="76"/>
      <c r="H165" s="76" t="s">
        <v>14</v>
      </c>
      <c r="I165" s="76"/>
      <c r="J165" s="76"/>
      <c r="K165" s="76"/>
      <c r="L165" s="76" t="s">
        <v>15</v>
      </c>
      <c r="M165" s="76"/>
      <c r="N165" s="76"/>
      <c r="O165" s="76"/>
      <c r="P165" s="76" t="s">
        <v>16</v>
      </c>
      <c r="Q165" s="76"/>
      <c r="R165" s="76"/>
      <c r="S165" s="76"/>
      <c r="T165" s="76"/>
      <c r="U165" s="76" t="s">
        <v>17</v>
      </c>
      <c r="V165" s="76"/>
      <c r="W165" s="76"/>
      <c r="X165" s="76"/>
      <c r="Y165" s="76" t="s">
        <v>18</v>
      </c>
      <c r="Z165" s="76"/>
      <c r="AA165" s="76"/>
      <c r="AB165" s="76"/>
      <c r="AC165" s="76"/>
    </row>
    <row r="166" spans="1:29" ht="18" x14ac:dyDescent="0.2">
      <c r="A166" s="20" t="s">
        <v>1</v>
      </c>
      <c r="B166" s="24" t="s">
        <v>3</v>
      </c>
      <c r="C166" s="35" t="str">
        <f t="shared" ref="C166:AC166" si="9">C106</f>
        <v>1-6</v>
      </c>
      <c r="D166" s="35" t="str">
        <f t="shared" si="9"/>
        <v>7-13</v>
      </c>
      <c r="E166" s="35" t="str">
        <f t="shared" si="9"/>
        <v>14-20</v>
      </c>
      <c r="F166" s="35" t="str">
        <f t="shared" si="9"/>
        <v>21-27</v>
      </c>
      <c r="G166" s="35" t="str">
        <f t="shared" si="9"/>
        <v>28-31</v>
      </c>
      <c r="H166" s="35" t="str">
        <f t="shared" si="9"/>
        <v>1-10</v>
      </c>
      <c r="I166" s="35" t="str">
        <f t="shared" si="9"/>
        <v>11-17</v>
      </c>
      <c r="J166" s="35" t="str">
        <f t="shared" si="9"/>
        <v>18-24</v>
      </c>
      <c r="K166" s="35" t="str">
        <f t="shared" si="9"/>
        <v>25-31</v>
      </c>
      <c r="L166" s="35" t="str">
        <f t="shared" si="9"/>
        <v>1-7</v>
      </c>
      <c r="M166" s="35" t="str">
        <f t="shared" si="9"/>
        <v>8-14</v>
      </c>
      <c r="N166" s="35" t="str">
        <f t="shared" si="9"/>
        <v>15-21</v>
      </c>
      <c r="O166" s="35" t="str">
        <f t="shared" si="9"/>
        <v>22-30</v>
      </c>
      <c r="P166" s="35" t="str">
        <f t="shared" si="9"/>
        <v>1-5</v>
      </c>
      <c r="Q166" s="35" t="str">
        <f t="shared" si="9"/>
        <v>6-12</v>
      </c>
      <c r="R166" s="35" t="str">
        <f t="shared" si="9"/>
        <v>13-19</v>
      </c>
      <c r="S166" s="35" t="str">
        <f t="shared" si="9"/>
        <v>20-26</v>
      </c>
      <c r="T166" s="35" t="str">
        <f t="shared" si="9"/>
        <v>27-31</v>
      </c>
      <c r="U166" s="35" t="str">
        <f t="shared" si="9"/>
        <v>1-9</v>
      </c>
      <c r="V166" s="35" t="str">
        <f t="shared" si="9"/>
        <v>10-16</v>
      </c>
      <c r="W166" s="35" t="str">
        <f t="shared" si="9"/>
        <v>17-23</v>
      </c>
      <c r="X166" s="35" t="str">
        <f t="shared" si="9"/>
        <v>24-30</v>
      </c>
      <c r="Y166" s="35" t="str">
        <f t="shared" si="9"/>
        <v>1-7</v>
      </c>
      <c r="Z166" s="35" t="str">
        <f t="shared" si="9"/>
        <v>8-14</v>
      </c>
      <c r="AA166" s="35" t="str">
        <f t="shared" si="9"/>
        <v>15-21</v>
      </c>
      <c r="AB166" s="35" t="str">
        <f t="shared" si="9"/>
        <v>22-28</v>
      </c>
      <c r="AC166" s="35" t="str">
        <f t="shared" si="9"/>
        <v>29-31</v>
      </c>
    </row>
    <row r="167" spans="1:29" ht="18" x14ac:dyDescent="0.2">
      <c r="A167" s="34"/>
      <c r="B167" s="26" t="s">
        <v>4</v>
      </c>
      <c r="C167" s="22" t="s">
        <v>12</v>
      </c>
      <c r="D167" s="22" t="s">
        <v>12</v>
      </c>
      <c r="E167" s="22" t="s">
        <v>12</v>
      </c>
      <c r="F167" s="22" t="s">
        <v>12</v>
      </c>
      <c r="G167" s="22" t="s">
        <v>12</v>
      </c>
      <c r="H167" s="22" t="s">
        <v>12</v>
      </c>
      <c r="I167" s="22" t="s">
        <v>12</v>
      </c>
      <c r="J167" s="22" t="s">
        <v>12</v>
      </c>
      <c r="K167" s="22" t="s">
        <v>12</v>
      </c>
      <c r="L167" s="22" t="s">
        <v>12</v>
      </c>
      <c r="M167" s="22" t="s">
        <v>12</v>
      </c>
      <c r="N167" s="22" t="s">
        <v>12</v>
      </c>
      <c r="O167" s="22" t="s">
        <v>12</v>
      </c>
      <c r="P167" s="22" t="s">
        <v>12</v>
      </c>
      <c r="Q167" s="22" t="s">
        <v>12</v>
      </c>
      <c r="R167" s="22" t="s">
        <v>12</v>
      </c>
      <c r="S167" s="22" t="s">
        <v>12</v>
      </c>
      <c r="T167" s="22" t="s">
        <v>12</v>
      </c>
      <c r="U167" s="22" t="s">
        <v>12</v>
      </c>
      <c r="V167" s="22" t="s">
        <v>12</v>
      </c>
      <c r="W167" s="22" t="s">
        <v>12</v>
      </c>
      <c r="X167" s="22" t="s">
        <v>12</v>
      </c>
      <c r="Y167" s="22" t="s">
        <v>12</v>
      </c>
      <c r="Z167" s="22" t="s">
        <v>12</v>
      </c>
      <c r="AA167" s="22" t="s">
        <v>12</v>
      </c>
      <c r="AB167" s="22" t="s">
        <v>12</v>
      </c>
      <c r="AC167" s="22" t="s">
        <v>12</v>
      </c>
    </row>
    <row r="168" spans="1:29" ht="18.75" customHeight="1" x14ac:dyDescent="0.2">
      <c r="A168" s="70" t="s">
        <v>198</v>
      </c>
      <c r="B168" s="27" t="s">
        <v>5</v>
      </c>
      <c r="C168" s="28"/>
      <c r="D168" s="28"/>
      <c r="E168" s="28"/>
      <c r="F168" s="28"/>
      <c r="G168" s="29"/>
      <c r="H168" s="28"/>
      <c r="I168" s="28"/>
      <c r="J168" s="28"/>
      <c r="K168" s="29"/>
      <c r="L168" s="28"/>
      <c r="M168" s="28"/>
      <c r="N168" s="28"/>
      <c r="O168" s="28"/>
      <c r="P168" s="28"/>
      <c r="Q168" s="28"/>
      <c r="R168" s="28"/>
      <c r="S168" s="28"/>
      <c r="T168" s="29"/>
      <c r="U168" s="28"/>
      <c r="V168" s="28"/>
      <c r="W168" s="28"/>
      <c r="X168" s="29"/>
      <c r="Y168" s="28"/>
      <c r="Z168" s="28"/>
      <c r="AA168" s="28"/>
      <c r="AB168" s="22"/>
      <c r="AC168" s="29"/>
    </row>
    <row r="169" spans="1:29" ht="18" x14ac:dyDescent="0.2">
      <c r="A169" s="70"/>
      <c r="B169" s="27" t="s">
        <v>6</v>
      </c>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row>
    <row r="170" spans="1:29" ht="18" x14ac:dyDescent="0.2">
      <c r="A170" s="70"/>
      <c r="B170" s="27" t="s">
        <v>3</v>
      </c>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row>
    <row r="171" spans="1:29" ht="18.75" customHeight="1" x14ac:dyDescent="0.2">
      <c r="A171" s="70" t="s">
        <v>199</v>
      </c>
      <c r="B171" s="27" t="s">
        <v>5</v>
      </c>
      <c r="C171" s="29"/>
      <c r="D171" s="28"/>
      <c r="E171" s="28"/>
      <c r="F171" s="35"/>
      <c r="G171" s="28"/>
      <c r="H171" s="28"/>
      <c r="I171" s="28"/>
      <c r="J171" s="28"/>
      <c r="K171" s="28"/>
      <c r="L171" s="28"/>
      <c r="M171" s="28"/>
      <c r="N171" s="28"/>
      <c r="O171" s="28"/>
      <c r="P171" s="28"/>
      <c r="Q171" s="28"/>
      <c r="R171" s="28"/>
      <c r="S171" s="28"/>
      <c r="T171" s="28"/>
      <c r="U171" s="28"/>
      <c r="V171" s="28"/>
      <c r="W171" s="28"/>
      <c r="X171" s="28"/>
      <c r="Y171" s="28"/>
      <c r="Z171" s="28"/>
      <c r="AA171" s="28"/>
      <c r="AB171" s="22"/>
      <c r="AC171" s="28"/>
    </row>
    <row r="172" spans="1:29" ht="18" x14ac:dyDescent="0.2">
      <c r="A172" s="70"/>
      <c r="B172" s="27" t="s">
        <v>6</v>
      </c>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row>
    <row r="173" spans="1:29" ht="18" x14ac:dyDescent="0.2">
      <c r="A173" s="70"/>
      <c r="B173" s="27" t="s">
        <v>3</v>
      </c>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row>
    <row r="174" spans="1:29" ht="18.75" customHeight="1" x14ac:dyDescent="0.2">
      <c r="A174" s="70" t="s">
        <v>200</v>
      </c>
      <c r="B174" s="27" t="s">
        <v>5</v>
      </c>
      <c r="C174" s="28"/>
      <c r="D174" s="28"/>
      <c r="E174" s="28"/>
      <c r="F174" s="35"/>
      <c r="G174" s="28"/>
      <c r="H174" s="28"/>
      <c r="I174" s="28"/>
      <c r="J174" s="28"/>
      <c r="K174" s="28"/>
      <c r="L174" s="28"/>
      <c r="M174" s="28"/>
      <c r="N174" s="28"/>
      <c r="O174" s="28"/>
      <c r="P174" s="28"/>
      <c r="Q174" s="28"/>
      <c r="R174" s="28"/>
      <c r="S174" s="28"/>
      <c r="T174" s="28"/>
      <c r="U174" s="28"/>
      <c r="V174" s="28"/>
      <c r="W174" s="28"/>
      <c r="X174" s="28"/>
      <c r="Y174" s="28"/>
      <c r="Z174" s="28"/>
      <c r="AA174" s="28"/>
      <c r="AB174" s="22"/>
      <c r="AC174" s="28"/>
    </row>
    <row r="175" spans="1:29" ht="18" x14ac:dyDescent="0.2">
      <c r="A175" s="70"/>
      <c r="B175" s="27" t="s">
        <v>6</v>
      </c>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row>
    <row r="176" spans="1:29" ht="18" x14ac:dyDescent="0.2">
      <c r="A176" s="70"/>
      <c r="B176" s="27" t="s">
        <v>3</v>
      </c>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row>
    <row r="177" spans="1:29" ht="18" x14ac:dyDescent="0.4">
      <c r="A177" s="4" t="s">
        <v>219</v>
      </c>
      <c r="B177" s="4"/>
      <c r="C177" s="4"/>
      <c r="D177" s="4"/>
      <c r="E177" s="4"/>
      <c r="F177" s="4"/>
      <c r="G177" s="4"/>
      <c r="H177" s="4"/>
      <c r="I177" s="4"/>
      <c r="J177" s="4"/>
      <c r="K177" s="4"/>
      <c r="L177" s="4"/>
      <c r="M177" s="4"/>
      <c r="N177" s="4"/>
      <c r="O177" s="4"/>
      <c r="P177" s="4"/>
      <c r="Q177" s="4"/>
      <c r="R177" s="4"/>
      <c r="S177" s="4"/>
      <c r="T177" s="4"/>
      <c r="U177" s="4"/>
      <c r="V177" s="4"/>
      <c r="W177" s="71" t="s">
        <v>173</v>
      </c>
      <c r="X177" s="71"/>
      <c r="Y177" s="71"/>
      <c r="Z177" s="71"/>
      <c r="AA177" s="71"/>
      <c r="AB177" s="71"/>
      <c r="AC177" s="71"/>
    </row>
    <row r="178" spans="1:29" ht="18" x14ac:dyDescent="0.4">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ht="18" x14ac:dyDescent="0.4">
      <c r="A179" s="40"/>
      <c r="B179" s="9"/>
      <c r="C179" s="9"/>
      <c r="D179" s="9"/>
      <c r="E179" s="9"/>
      <c r="F179" s="9"/>
      <c r="G179" s="9"/>
      <c r="H179" s="9"/>
      <c r="I179" s="9"/>
      <c r="J179" s="9"/>
      <c r="K179" s="9"/>
      <c r="L179" s="9"/>
      <c r="M179" s="9"/>
      <c r="N179" s="9"/>
      <c r="O179" s="9"/>
      <c r="P179" s="72" t="s">
        <v>28</v>
      </c>
      <c r="Q179" s="72"/>
      <c r="R179" s="73" t="str">
        <f>R119</f>
        <v>พีรวัส</v>
      </c>
      <c r="S179" s="73"/>
      <c r="T179" s="73"/>
      <c r="U179" s="72" t="s">
        <v>30</v>
      </c>
      <c r="V179" s="72"/>
      <c r="W179" s="73" t="str">
        <f>W119</f>
        <v>วรพงศ์</v>
      </c>
      <c r="X179" s="73"/>
      <c r="Y179" s="73"/>
      <c r="Z179" s="8" t="s">
        <v>29</v>
      </c>
      <c r="AA179" s="74">
        <f>AA119</f>
        <v>46021</v>
      </c>
      <c r="AB179" s="74"/>
      <c r="AC179" s="74"/>
    </row>
    <row r="180" spans="1:29" ht="18" x14ac:dyDescent="0.4">
      <c r="A180" s="41"/>
      <c r="B180" s="4"/>
      <c r="C180" s="4"/>
      <c r="D180" s="4"/>
      <c r="E180" s="4"/>
      <c r="F180" s="4"/>
      <c r="G180" s="4"/>
      <c r="H180" s="4"/>
      <c r="I180" s="4"/>
      <c r="J180" s="4"/>
      <c r="K180" s="4"/>
      <c r="L180" s="4"/>
      <c r="M180" s="4"/>
      <c r="N180" s="4"/>
      <c r="O180" s="4"/>
      <c r="P180" s="12"/>
      <c r="Q180" s="12"/>
      <c r="R180" s="10"/>
      <c r="S180" s="10"/>
      <c r="T180" s="10"/>
      <c r="U180" s="12"/>
      <c r="V180" s="12"/>
      <c r="W180" s="10"/>
      <c r="X180" s="10"/>
      <c r="Y180" s="10"/>
      <c r="Z180" s="12"/>
      <c r="AA180" s="13"/>
      <c r="AB180" s="13"/>
      <c r="AC180" s="13"/>
    </row>
    <row r="181" spans="1:29" ht="23.25" x14ac:dyDescent="0.5">
      <c r="A181" s="80" t="s">
        <v>26</v>
      </c>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row>
    <row r="182" spans="1:29" ht="21" x14ac:dyDescent="0.45">
      <c r="A182" s="6" t="s">
        <v>22</v>
      </c>
      <c r="B182" s="81" t="s">
        <v>196</v>
      </c>
      <c r="C182" s="81"/>
      <c r="D182" s="81"/>
      <c r="E182" s="81"/>
      <c r="F182" s="81"/>
      <c r="G182" s="81"/>
      <c r="H182" s="6" t="s">
        <v>24</v>
      </c>
      <c r="I182" s="84" t="s">
        <v>197</v>
      </c>
      <c r="J182" s="88"/>
      <c r="K182" s="88"/>
      <c r="L182" s="88"/>
      <c r="M182" s="83" t="s">
        <v>25</v>
      </c>
      <c r="N182" s="83"/>
      <c r="O182" s="81" t="s">
        <v>57</v>
      </c>
      <c r="P182" s="81"/>
      <c r="Q182" s="81"/>
      <c r="R182" s="81"/>
      <c r="S182" s="81"/>
      <c r="T182" s="6" t="s">
        <v>20</v>
      </c>
      <c r="U182" s="81">
        <f>$U$2</f>
        <v>2569</v>
      </c>
      <c r="V182" s="81"/>
      <c r="W182" s="83" t="s">
        <v>35</v>
      </c>
      <c r="X182" s="83"/>
      <c r="Y182" s="83"/>
      <c r="Z182" s="1" t="s">
        <v>21</v>
      </c>
      <c r="AA182" s="1"/>
      <c r="AB182" s="1"/>
      <c r="AC182" s="1"/>
    </row>
    <row r="183" spans="1:29" ht="18" x14ac:dyDescent="0.2">
      <c r="A183" s="20" t="s">
        <v>0</v>
      </c>
      <c r="B183" s="21" t="s">
        <v>2</v>
      </c>
      <c r="C183" s="75" t="s">
        <v>32</v>
      </c>
      <c r="D183" s="75"/>
      <c r="E183" s="75"/>
      <c r="F183" s="75"/>
      <c r="G183" s="75"/>
      <c r="H183" s="75" t="s">
        <v>7</v>
      </c>
      <c r="I183" s="75"/>
      <c r="J183" s="75"/>
      <c r="K183" s="75"/>
      <c r="L183" s="77" t="s">
        <v>8</v>
      </c>
      <c r="M183" s="78"/>
      <c r="N183" s="78"/>
      <c r="O183" s="79"/>
      <c r="P183" s="77" t="s">
        <v>9</v>
      </c>
      <c r="Q183" s="78"/>
      <c r="R183" s="78"/>
      <c r="S183" s="78"/>
      <c r="T183" s="79"/>
      <c r="U183" s="75" t="s">
        <v>10</v>
      </c>
      <c r="V183" s="75"/>
      <c r="W183" s="75"/>
      <c r="X183" s="75"/>
      <c r="Y183" s="75"/>
      <c r="Z183" s="75" t="s">
        <v>11</v>
      </c>
      <c r="AA183" s="75"/>
      <c r="AB183" s="75"/>
      <c r="AC183" s="75"/>
    </row>
    <row r="184" spans="1:29" ht="18" x14ac:dyDescent="0.2">
      <c r="A184" s="23" t="s">
        <v>1</v>
      </c>
      <c r="B184" s="24" t="s">
        <v>3</v>
      </c>
      <c r="C184" s="28" t="str">
        <f t="shared" ref="C184:AC184" si="10">C124</f>
        <v>1-5</v>
      </c>
      <c r="D184" s="28" t="str">
        <f t="shared" si="10"/>
        <v>6-12</v>
      </c>
      <c r="E184" s="28" t="str">
        <f t="shared" si="10"/>
        <v>13-19</v>
      </c>
      <c r="F184" s="28" t="str">
        <f t="shared" si="10"/>
        <v>20-26</v>
      </c>
      <c r="G184" s="28" t="str">
        <f t="shared" si="10"/>
        <v>27-31</v>
      </c>
      <c r="H184" s="28" t="str">
        <f t="shared" si="10"/>
        <v>1-9</v>
      </c>
      <c r="I184" s="28" t="str">
        <f t="shared" si="10"/>
        <v>10-16</v>
      </c>
      <c r="J184" s="28" t="str">
        <f t="shared" si="10"/>
        <v>17-23</v>
      </c>
      <c r="K184" s="28" t="str">
        <f t="shared" si="10"/>
        <v>24-28</v>
      </c>
      <c r="L184" s="28" t="str">
        <f t="shared" si="10"/>
        <v>1-9</v>
      </c>
      <c r="M184" s="28" t="str">
        <f t="shared" si="10"/>
        <v>10-16</v>
      </c>
      <c r="N184" s="28" t="str">
        <f t="shared" si="10"/>
        <v>17-23</v>
      </c>
      <c r="O184" s="28" t="str">
        <f t="shared" si="10"/>
        <v>24-31</v>
      </c>
      <c r="P184" s="28" t="str">
        <f t="shared" si="10"/>
        <v>1-6</v>
      </c>
      <c r="Q184" s="28" t="str">
        <f t="shared" si="10"/>
        <v>7-13</v>
      </c>
      <c r="R184" s="28" t="str">
        <f t="shared" si="10"/>
        <v>14-20</v>
      </c>
      <c r="S184" s="28" t="str">
        <f t="shared" si="10"/>
        <v>21-27</v>
      </c>
      <c r="T184" s="28" t="str">
        <f t="shared" si="10"/>
        <v>28-30</v>
      </c>
      <c r="U184" s="28" t="str">
        <f t="shared" si="10"/>
        <v>1-4</v>
      </c>
      <c r="V184" s="28" t="str">
        <f t="shared" si="10"/>
        <v>5-11</v>
      </c>
      <c r="W184" s="28" t="str">
        <f t="shared" si="10"/>
        <v>12-18</v>
      </c>
      <c r="X184" s="28" t="str">
        <f t="shared" si="10"/>
        <v>19-25</v>
      </c>
      <c r="Y184" s="28" t="str">
        <f t="shared" si="10"/>
        <v>26-31</v>
      </c>
      <c r="Z184" s="28" t="str">
        <f t="shared" si="10"/>
        <v>1-8</v>
      </c>
      <c r="AA184" s="28" t="str">
        <f t="shared" si="10"/>
        <v>9-15</v>
      </c>
      <c r="AB184" s="28" t="str">
        <f t="shared" si="10"/>
        <v>16-22</v>
      </c>
      <c r="AC184" s="28" t="str">
        <f t="shared" si="10"/>
        <v>23-30</v>
      </c>
    </row>
    <row r="185" spans="1:29" ht="18" x14ac:dyDescent="0.2">
      <c r="A185" s="25"/>
      <c r="B185" s="26" t="s">
        <v>4</v>
      </c>
      <c r="C185" s="22" t="s">
        <v>12</v>
      </c>
      <c r="D185" s="22" t="s">
        <v>12</v>
      </c>
      <c r="E185" s="22" t="s">
        <v>12</v>
      </c>
      <c r="F185" s="22" t="s">
        <v>12</v>
      </c>
      <c r="G185" s="22" t="s">
        <v>12</v>
      </c>
      <c r="H185" s="22" t="s">
        <v>12</v>
      </c>
      <c r="I185" s="22" t="s">
        <v>12</v>
      </c>
      <c r="J185" s="22" t="s">
        <v>12</v>
      </c>
      <c r="K185" s="22" t="s">
        <v>12</v>
      </c>
      <c r="L185" s="22" t="s">
        <v>12</v>
      </c>
      <c r="M185" s="22" t="s">
        <v>12</v>
      </c>
      <c r="N185" s="22" t="s">
        <v>12</v>
      </c>
      <c r="O185" s="22" t="s">
        <v>12</v>
      </c>
      <c r="P185" s="22" t="s">
        <v>12</v>
      </c>
      <c r="Q185" s="22" t="s">
        <v>12</v>
      </c>
      <c r="R185" s="22" t="s">
        <v>12</v>
      </c>
      <c r="S185" s="22" t="s">
        <v>12</v>
      </c>
      <c r="T185" s="22" t="s">
        <v>12</v>
      </c>
      <c r="U185" s="22" t="s">
        <v>12</v>
      </c>
      <c r="V185" s="22" t="s">
        <v>12</v>
      </c>
      <c r="W185" s="22" t="s">
        <v>12</v>
      </c>
      <c r="X185" s="22" t="s">
        <v>12</v>
      </c>
      <c r="Y185" s="22" t="s">
        <v>12</v>
      </c>
      <c r="Z185" s="22" t="s">
        <v>12</v>
      </c>
      <c r="AA185" s="22" t="s">
        <v>12</v>
      </c>
      <c r="AB185" s="22" t="s">
        <v>12</v>
      </c>
      <c r="AC185" s="22" t="s">
        <v>12</v>
      </c>
    </row>
    <row r="186" spans="1:29" ht="18.75" customHeight="1" x14ac:dyDescent="0.2">
      <c r="A186" s="70" t="s">
        <v>92</v>
      </c>
      <c r="B186" s="27" t="s">
        <v>5</v>
      </c>
      <c r="C186" s="28"/>
      <c r="D186" s="28"/>
      <c r="E186" s="28"/>
      <c r="F186" s="28"/>
      <c r="G186" s="29"/>
      <c r="H186" s="28"/>
      <c r="I186" s="28"/>
      <c r="J186" s="28"/>
      <c r="K186" s="29"/>
      <c r="L186" s="28"/>
      <c r="M186" s="28"/>
      <c r="N186" s="28"/>
      <c r="O186" s="28"/>
      <c r="P186" s="29"/>
      <c r="Q186" s="28"/>
      <c r="R186" s="28"/>
      <c r="S186" s="28"/>
      <c r="T186" s="29"/>
      <c r="U186" s="28"/>
      <c r="V186" s="28"/>
      <c r="W186" s="28"/>
      <c r="X186" s="28"/>
      <c r="Y186" s="29"/>
      <c r="Z186" s="28"/>
      <c r="AA186" s="28"/>
      <c r="AB186" s="22"/>
      <c r="AC186" s="29"/>
    </row>
    <row r="187" spans="1:29" ht="18" x14ac:dyDescent="0.2">
      <c r="A187" s="70"/>
      <c r="B187" s="27" t="s">
        <v>6</v>
      </c>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row>
    <row r="188" spans="1:29" ht="18" x14ac:dyDescent="0.2">
      <c r="A188" s="70"/>
      <c r="B188" s="27" t="s">
        <v>3</v>
      </c>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row>
    <row r="189" spans="1:29" ht="18.75" customHeight="1" x14ac:dyDescent="0.2">
      <c r="A189" s="70"/>
      <c r="B189" s="27" t="s">
        <v>5</v>
      </c>
      <c r="C189" s="35"/>
      <c r="D189" s="28"/>
      <c r="E189" s="35"/>
      <c r="F189" s="35"/>
      <c r="G189" s="29"/>
      <c r="H189" s="28"/>
      <c r="I189" s="28"/>
      <c r="J189" s="28"/>
      <c r="K189" s="29"/>
      <c r="L189" s="28"/>
      <c r="M189" s="28"/>
      <c r="N189" s="28"/>
      <c r="O189" s="28"/>
      <c r="P189" s="29"/>
      <c r="Q189" s="28"/>
      <c r="R189" s="28"/>
      <c r="S189" s="28"/>
      <c r="T189" s="29"/>
      <c r="U189" s="28"/>
      <c r="V189" s="28"/>
      <c r="W189" s="28"/>
      <c r="X189" s="28"/>
      <c r="Y189" s="29"/>
      <c r="Z189" s="28"/>
      <c r="AA189" s="28"/>
      <c r="AB189" s="22"/>
      <c r="AC189" s="29"/>
    </row>
    <row r="190" spans="1:29" ht="18" x14ac:dyDescent="0.2">
      <c r="A190" s="70"/>
      <c r="B190" s="27" t="s">
        <v>6</v>
      </c>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row>
    <row r="191" spans="1:29" ht="18" x14ac:dyDescent="0.2">
      <c r="A191" s="70"/>
      <c r="B191" s="27" t="s">
        <v>3</v>
      </c>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row>
    <row r="192" spans="1:29" ht="18.75" customHeight="1" x14ac:dyDescent="0.2">
      <c r="A192" s="70"/>
      <c r="B192" s="27" t="s">
        <v>5</v>
      </c>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2"/>
      <c r="AC192" s="28"/>
    </row>
    <row r="193" spans="1:31" ht="18" x14ac:dyDescent="0.2">
      <c r="A193" s="70"/>
      <c r="B193" s="27" t="s">
        <v>6</v>
      </c>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row>
    <row r="194" spans="1:31" ht="18" x14ac:dyDescent="0.2">
      <c r="A194" s="70"/>
      <c r="B194" s="27" t="s">
        <v>3</v>
      </c>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row>
    <row r="195" spans="1:31" ht="18" x14ac:dyDescent="0.2">
      <c r="A195" s="20" t="s">
        <v>0</v>
      </c>
      <c r="B195" s="21" t="s">
        <v>2</v>
      </c>
      <c r="C195" s="76" t="s">
        <v>13</v>
      </c>
      <c r="D195" s="76"/>
      <c r="E195" s="76"/>
      <c r="F195" s="76"/>
      <c r="G195" s="76"/>
      <c r="H195" s="76" t="s">
        <v>14</v>
      </c>
      <c r="I195" s="76"/>
      <c r="J195" s="76"/>
      <c r="K195" s="76"/>
      <c r="L195" s="76" t="s">
        <v>15</v>
      </c>
      <c r="M195" s="76"/>
      <c r="N195" s="76"/>
      <c r="O195" s="76"/>
      <c r="P195" s="76" t="s">
        <v>16</v>
      </c>
      <c r="Q195" s="76"/>
      <c r="R195" s="76"/>
      <c r="S195" s="76"/>
      <c r="T195" s="76"/>
      <c r="U195" s="76" t="s">
        <v>17</v>
      </c>
      <c r="V195" s="76"/>
      <c r="W195" s="76"/>
      <c r="X195" s="76"/>
      <c r="Y195" s="76" t="s">
        <v>18</v>
      </c>
      <c r="Z195" s="76"/>
      <c r="AA195" s="76"/>
      <c r="AB195" s="76"/>
      <c r="AC195" s="76"/>
    </row>
    <row r="196" spans="1:31" ht="18" x14ac:dyDescent="0.2">
      <c r="A196" s="20" t="s">
        <v>1</v>
      </c>
      <c r="B196" s="24" t="s">
        <v>3</v>
      </c>
      <c r="C196" s="35" t="str">
        <f t="shared" ref="C196:AC196" si="11">C136</f>
        <v>1-6</v>
      </c>
      <c r="D196" s="35" t="str">
        <f t="shared" si="11"/>
        <v>7-13</v>
      </c>
      <c r="E196" s="35" t="str">
        <f t="shared" si="11"/>
        <v>14-20</v>
      </c>
      <c r="F196" s="35" t="str">
        <f t="shared" si="11"/>
        <v>21-27</v>
      </c>
      <c r="G196" s="35" t="str">
        <f t="shared" si="11"/>
        <v>28-31</v>
      </c>
      <c r="H196" s="35" t="str">
        <f t="shared" si="11"/>
        <v>1-10</v>
      </c>
      <c r="I196" s="35" t="str">
        <f t="shared" si="11"/>
        <v>11-17</v>
      </c>
      <c r="J196" s="35" t="str">
        <f t="shared" si="11"/>
        <v>18-24</v>
      </c>
      <c r="K196" s="35" t="str">
        <f t="shared" si="11"/>
        <v>25-31</v>
      </c>
      <c r="L196" s="35" t="str">
        <f t="shared" si="11"/>
        <v>1-7</v>
      </c>
      <c r="M196" s="35" t="str">
        <f t="shared" si="11"/>
        <v>8-14</v>
      </c>
      <c r="N196" s="35" t="str">
        <f t="shared" si="11"/>
        <v>15-21</v>
      </c>
      <c r="O196" s="35" t="str">
        <f t="shared" si="11"/>
        <v>22-30</v>
      </c>
      <c r="P196" s="35" t="str">
        <f t="shared" si="11"/>
        <v>1-5</v>
      </c>
      <c r="Q196" s="35" t="str">
        <f t="shared" si="11"/>
        <v>6-12</v>
      </c>
      <c r="R196" s="35" t="str">
        <f t="shared" si="11"/>
        <v>13-19</v>
      </c>
      <c r="S196" s="35" t="str">
        <f t="shared" si="11"/>
        <v>20-26</v>
      </c>
      <c r="T196" s="35" t="str">
        <f t="shared" si="11"/>
        <v>27-31</v>
      </c>
      <c r="U196" s="35" t="str">
        <f t="shared" si="11"/>
        <v>1-9</v>
      </c>
      <c r="V196" s="35" t="str">
        <f t="shared" si="11"/>
        <v>10-16</v>
      </c>
      <c r="W196" s="35" t="str">
        <f t="shared" si="11"/>
        <v>17-23</v>
      </c>
      <c r="X196" s="35" t="str">
        <f t="shared" si="11"/>
        <v>24-30</v>
      </c>
      <c r="Y196" s="35" t="str">
        <f t="shared" si="11"/>
        <v>1-7</v>
      </c>
      <c r="Z196" s="35" t="str">
        <f t="shared" si="11"/>
        <v>8-14</v>
      </c>
      <c r="AA196" s="35" t="str">
        <f t="shared" si="11"/>
        <v>15-21</v>
      </c>
      <c r="AB196" s="35" t="str">
        <f t="shared" si="11"/>
        <v>22-28</v>
      </c>
      <c r="AC196" s="35" t="str">
        <f t="shared" si="11"/>
        <v>29-31</v>
      </c>
    </row>
    <row r="197" spans="1:31" ht="18" x14ac:dyDescent="0.2">
      <c r="A197" s="34"/>
      <c r="B197" s="26" t="s">
        <v>4</v>
      </c>
      <c r="C197" s="22" t="s">
        <v>12</v>
      </c>
      <c r="D197" s="22" t="s">
        <v>12</v>
      </c>
      <c r="E197" s="22" t="s">
        <v>12</v>
      </c>
      <c r="F197" s="22" t="s">
        <v>12</v>
      </c>
      <c r="G197" s="22" t="s">
        <v>12</v>
      </c>
      <c r="H197" s="22" t="s">
        <v>12</v>
      </c>
      <c r="I197" s="22" t="s">
        <v>12</v>
      </c>
      <c r="J197" s="22" t="s">
        <v>12</v>
      </c>
      <c r="K197" s="22" t="s">
        <v>12</v>
      </c>
      <c r="L197" s="22" t="s">
        <v>12</v>
      </c>
      <c r="M197" s="22" t="s">
        <v>12</v>
      </c>
      <c r="N197" s="22" t="s">
        <v>12</v>
      </c>
      <c r="O197" s="22" t="s">
        <v>12</v>
      </c>
      <c r="P197" s="22" t="s">
        <v>12</v>
      </c>
      <c r="Q197" s="22" t="s">
        <v>12</v>
      </c>
      <c r="R197" s="22" t="s">
        <v>12</v>
      </c>
      <c r="S197" s="22" t="s">
        <v>12</v>
      </c>
      <c r="T197" s="22" t="s">
        <v>12</v>
      </c>
      <c r="U197" s="22" t="s">
        <v>12</v>
      </c>
      <c r="V197" s="22" t="s">
        <v>12</v>
      </c>
      <c r="W197" s="22" t="s">
        <v>12</v>
      </c>
      <c r="X197" s="22" t="s">
        <v>12</v>
      </c>
      <c r="Y197" s="22" t="s">
        <v>12</v>
      </c>
      <c r="Z197" s="22" t="s">
        <v>12</v>
      </c>
      <c r="AA197" s="22" t="s">
        <v>12</v>
      </c>
      <c r="AB197" s="22" t="s">
        <v>12</v>
      </c>
      <c r="AC197" s="22" t="s">
        <v>12</v>
      </c>
    </row>
    <row r="198" spans="1:31" ht="18.75" customHeight="1" x14ac:dyDescent="0.2">
      <c r="A198" s="70" t="s">
        <v>92</v>
      </c>
      <c r="B198" s="27" t="s">
        <v>5</v>
      </c>
      <c r="C198" s="28"/>
      <c r="D198" s="28"/>
      <c r="E198" s="28"/>
      <c r="F198" s="28"/>
      <c r="G198" s="29"/>
      <c r="H198" s="28"/>
      <c r="I198" s="28"/>
      <c r="J198" s="28"/>
      <c r="K198" s="29"/>
      <c r="L198" s="28"/>
      <c r="M198" s="28"/>
      <c r="N198" s="28"/>
      <c r="O198" s="29"/>
      <c r="P198" s="28"/>
      <c r="Q198" s="28"/>
      <c r="R198" s="28"/>
      <c r="S198" s="28"/>
      <c r="T198" s="29"/>
      <c r="U198" s="28"/>
      <c r="V198" s="28"/>
      <c r="W198" s="28"/>
      <c r="X198" s="29"/>
      <c r="Y198" s="28"/>
      <c r="Z198" s="28"/>
      <c r="AA198" s="28"/>
      <c r="AB198" s="22"/>
      <c r="AC198" s="29"/>
    </row>
    <row r="199" spans="1:31" ht="18" x14ac:dyDescent="0.2">
      <c r="A199" s="70"/>
      <c r="B199" s="27" t="s">
        <v>6</v>
      </c>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row>
    <row r="200" spans="1:31" ht="18" x14ac:dyDescent="0.2">
      <c r="A200" s="70"/>
      <c r="B200" s="27" t="s">
        <v>3</v>
      </c>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row>
    <row r="201" spans="1:31" ht="18.75" customHeight="1" x14ac:dyDescent="0.2">
      <c r="A201" s="70"/>
      <c r="B201" s="27" t="s">
        <v>5</v>
      </c>
      <c r="C201" s="29"/>
      <c r="D201" s="28"/>
      <c r="E201" s="28"/>
      <c r="F201" s="35"/>
      <c r="G201" s="28"/>
      <c r="H201" s="28"/>
      <c r="I201" s="28"/>
      <c r="J201" s="28"/>
      <c r="K201" s="28"/>
      <c r="L201" s="28"/>
      <c r="M201" s="28"/>
      <c r="N201" s="28"/>
      <c r="O201" s="28"/>
      <c r="P201" s="28"/>
      <c r="Q201" s="28"/>
      <c r="R201" s="28"/>
      <c r="S201" s="28"/>
      <c r="T201" s="28"/>
      <c r="U201" s="28"/>
      <c r="V201" s="28"/>
      <c r="W201" s="28"/>
      <c r="X201" s="28"/>
      <c r="Y201" s="28"/>
      <c r="Z201" s="28"/>
      <c r="AA201" s="28"/>
      <c r="AB201" s="22"/>
      <c r="AC201" s="28"/>
    </row>
    <row r="202" spans="1:31" ht="18" x14ac:dyDescent="0.2">
      <c r="A202" s="70"/>
      <c r="B202" s="27" t="s">
        <v>6</v>
      </c>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row>
    <row r="203" spans="1:31" ht="18" x14ac:dyDescent="0.2">
      <c r="A203" s="70"/>
      <c r="B203" s="27" t="s">
        <v>3</v>
      </c>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row>
    <row r="204" spans="1:31" ht="18.75" customHeight="1" x14ac:dyDescent="0.2">
      <c r="A204" s="70"/>
      <c r="B204" s="27" t="s">
        <v>5</v>
      </c>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2"/>
      <c r="AC204" s="28"/>
    </row>
    <row r="205" spans="1:31" ht="18" x14ac:dyDescent="0.2">
      <c r="A205" s="70"/>
      <c r="B205" s="27" t="s">
        <v>6</v>
      </c>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11"/>
      <c r="AE205" s="11"/>
    </row>
    <row r="206" spans="1:31" ht="18" x14ac:dyDescent="0.2">
      <c r="A206" s="70"/>
      <c r="B206" s="27" t="s">
        <v>3</v>
      </c>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row>
    <row r="207" spans="1:31" ht="18" x14ac:dyDescent="0.4">
      <c r="A207" s="4" t="s">
        <v>219</v>
      </c>
      <c r="B207" s="4"/>
      <c r="C207" s="4"/>
      <c r="D207" s="4"/>
      <c r="E207" s="4"/>
      <c r="F207" s="4"/>
      <c r="G207" s="4"/>
      <c r="H207" s="4"/>
      <c r="I207" s="4"/>
      <c r="J207" s="4"/>
      <c r="K207" s="4"/>
      <c r="L207" s="4"/>
      <c r="M207" s="4"/>
      <c r="N207" s="4"/>
      <c r="O207" s="4"/>
      <c r="P207" s="4"/>
      <c r="Q207" s="4"/>
      <c r="R207" s="4"/>
      <c r="S207" s="4"/>
      <c r="T207" s="4"/>
      <c r="U207" s="4"/>
      <c r="V207" s="4"/>
      <c r="W207" s="71" t="s">
        <v>173</v>
      </c>
      <c r="X207" s="71"/>
      <c r="Y207" s="71"/>
      <c r="Z207" s="71"/>
      <c r="AA207" s="71"/>
      <c r="AB207" s="71"/>
      <c r="AC207" s="71"/>
    </row>
    <row r="208" spans="1:31" ht="18" x14ac:dyDescent="0.4">
      <c r="A208" s="7" t="s">
        <v>266</v>
      </c>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spans="1:29" ht="18" x14ac:dyDescent="0.4">
      <c r="A209" s="9"/>
      <c r="B209" s="9"/>
      <c r="C209" s="9"/>
      <c r="D209" s="9"/>
      <c r="E209" s="9"/>
      <c r="F209" s="9"/>
      <c r="G209" s="9"/>
      <c r="H209" s="9"/>
      <c r="I209" s="9"/>
      <c r="J209" s="9"/>
      <c r="K209" s="9"/>
      <c r="L209" s="9"/>
      <c r="M209" s="9"/>
      <c r="N209" s="9"/>
      <c r="O209" s="9"/>
      <c r="P209" s="72" t="s">
        <v>28</v>
      </c>
      <c r="Q209" s="72"/>
      <c r="R209" s="73" t="str">
        <f>R149</f>
        <v>พีรวัส</v>
      </c>
      <c r="S209" s="73"/>
      <c r="T209" s="73"/>
      <c r="U209" s="72" t="s">
        <v>30</v>
      </c>
      <c r="V209" s="72"/>
      <c r="W209" s="73" t="str">
        <f>W149</f>
        <v>วรพงศ์</v>
      </c>
      <c r="X209" s="73"/>
      <c r="Y209" s="73"/>
      <c r="Z209" s="8" t="s">
        <v>29</v>
      </c>
      <c r="AA209" s="74">
        <f>AA149</f>
        <v>46021</v>
      </c>
      <c r="AB209" s="74"/>
      <c r="AC209" s="74"/>
    </row>
    <row r="210" spans="1:29" ht="18" x14ac:dyDescent="0.4">
      <c r="A210" s="4"/>
      <c r="B210" s="4"/>
      <c r="C210" s="4"/>
      <c r="D210" s="4"/>
      <c r="E210" s="4"/>
      <c r="F210" s="4"/>
      <c r="G210" s="4"/>
      <c r="H210" s="4"/>
      <c r="I210" s="4"/>
      <c r="J210" s="4"/>
      <c r="K210" s="4"/>
      <c r="L210" s="4"/>
      <c r="M210" s="4"/>
      <c r="N210" s="4"/>
      <c r="O210" s="4"/>
      <c r="P210" s="12"/>
      <c r="Q210" s="12"/>
      <c r="R210" s="10"/>
      <c r="S210" s="10"/>
      <c r="T210" s="10"/>
      <c r="U210" s="12"/>
      <c r="V210" s="12"/>
      <c r="W210" s="10"/>
      <c r="X210" s="10"/>
      <c r="Y210" s="10"/>
      <c r="Z210" s="12"/>
      <c r="AA210" s="13"/>
      <c r="AB210" s="13"/>
      <c r="AC210" s="13"/>
    </row>
    <row r="211" spans="1:29" ht="23.25" x14ac:dyDescent="0.5">
      <c r="A211" s="80" t="s">
        <v>26</v>
      </c>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row>
    <row r="212" spans="1:29" ht="21" x14ac:dyDescent="0.45">
      <c r="A212" s="6" t="s">
        <v>22</v>
      </c>
      <c r="B212" s="81" t="s">
        <v>61</v>
      </c>
      <c r="C212" s="81"/>
      <c r="D212" s="81"/>
      <c r="E212" s="81"/>
      <c r="F212" s="81"/>
      <c r="G212" s="81"/>
      <c r="H212" s="6" t="s">
        <v>24</v>
      </c>
      <c r="I212" s="82" t="s">
        <v>62</v>
      </c>
      <c r="J212" s="82"/>
      <c r="K212" s="82"/>
      <c r="L212" s="82"/>
      <c r="M212" s="83" t="s">
        <v>25</v>
      </c>
      <c r="N212" s="83"/>
      <c r="O212" s="81" t="s">
        <v>257</v>
      </c>
      <c r="P212" s="81"/>
      <c r="Q212" s="81"/>
      <c r="R212" s="81"/>
      <c r="S212" s="81"/>
      <c r="T212" s="6" t="s">
        <v>20</v>
      </c>
      <c r="U212" s="81">
        <f>$U$2</f>
        <v>2569</v>
      </c>
      <c r="V212" s="81"/>
      <c r="W212" s="83" t="s">
        <v>35</v>
      </c>
      <c r="X212" s="83"/>
      <c r="Y212" s="83"/>
      <c r="Z212" s="1" t="s">
        <v>137</v>
      </c>
      <c r="AA212" s="1"/>
      <c r="AB212" s="1"/>
      <c r="AC212" s="1"/>
    </row>
    <row r="213" spans="1:29" ht="18" x14ac:dyDescent="0.2">
      <c r="A213" s="20" t="s">
        <v>0</v>
      </c>
      <c r="B213" s="21" t="s">
        <v>2</v>
      </c>
      <c r="C213" s="75" t="s">
        <v>32</v>
      </c>
      <c r="D213" s="75"/>
      <c r="E213" s="75"/>
      <c r="F213" s="75"/>
      <c r="G213" s="75"/>
      <c r="H213" s="75" t="s">
        <v>7</v>
      </c>
      <c r="I213" s="75"/>
      <c r="J213" s="75"/>
      <c r="K213" s="75"/>
      <c r="L213" s="77" t="s">
        <v>8</v>
      </c>
      <c r="M213" s="78"/>
      <c r="N213" s="78"/>
      <c r="O213" s="79"/>
      <c r="P213" s="77" t="s">
        <v>9</v>
      </c>
      <c r="Q213" s="78"/>
      <c r="R213" s="78"/>
      <c r="S213" s="78"/>
      <c r="T213" s="79"/>
      <c r="U213" s="75" t="s">
        <v>10</v>
      </c>
      <c r="V213" s="75"/>
      <c r="W213" s="75"/>
      <c r="X213" s="75"/>
      <c r="Y213" s="75"/>
      <c r="Z213" s="75" t="s">
        <v>11</v>
      </c>
      <c r="AA213" s="75"/>
      <c r="AB213" s="75"/>
      <c r="AC213" s="75"/>
    </row>
    <row r="214" spans="1:29" ht="18" x14ac:dyDescent="0.2">
      <c r="A214" s="23" t="s">
        <v>1</v>
      </c>
      <c r="B214" s="24" t="s">
        <v>3</v>
      </c>
      <c r="C214" s="28" t="str">
        <f t="shared" ref="C214:AC214" si="12">C184</f>
        <v>1-5</v>
      </c>
      <c r="D214" s="28" t="str">
        <f t="shared" si="12"/>
        <v>6-12</v>
      </c>
      <c r="E214" s="28" t="str">
        <f t="shared" si="12"/>
        <v>13-19</v>
      </c>
      <c r="F214" s="28" t="str">
        <f t="shared" si="12"/>
        <v>20-26</v>
      </c>
      <c r="G214" s="28" t="str">
        <f t="shared" si="12"/>
        <v>27-31</v>
      </c>
      <c r="H214" s="28" t="str">
        <f t="shared" si="12"/>
        <v>1-9</v>
      </c>
      <c r="I214" s="28" t="str">
        <f t="shared" si="12"/>
        <v>10-16</v>
      </c>
      <c r="J214" s="28" t="str">
        <f t="shared" si="12"/>
        <v>17-23</v>
      </c>
      <c r="K214" s="28" t="str">
        <f t="shared" si="12"/>
        <v>24-28</v>
      </c>
      <c r="L214" s="28" t="str">
        <f t="shared" si="12"/>
        <v>1-9</v>
      </c>
      <c r="M214" s="28" t="str">
        <f t="shared" si="12"/>
        <v>10-16</v>
      </c>
      <c r="N214" s="28" t="str">
        <f t="shared" si="12"/>
        <v>17-23</v>
      </c>
      <c r="O214" s="28" t="str">
        <f t="shared" si="12"/>
        <v>24-31</v>
      </c>
      <c r="P214" s="28" t="str">
        <f t="shared" si="12"/>
        <v>1-6</v>
      </c>
      <c r="Q214" s="28" t="str">
        <f t="shared" si="12"/>
        <v>7-13</v>
      </c>
      <c r="R214" s="28" t="str">
        <f t="shared" si="12"/>
        <v>14-20</v>
      </c>
      <c r="S214" s="28" t="str">
        <f t="shared" si="12"/>
        <v>21-27</v>
      </c>
      <c r="T214" s="28" t="str">
        <f t="shared" si="12"/>
        <v>28-30</v>
      </c>
      <c r="U214" s="28" t="str">
        <f t="shared" si="12"/>
        <v>1-4</v>
      </c>
      <c r="V214" s="28" t="str">
        <f t="shared" si="12"/>
        <v>5-11</v>
      </c>
      <c r="W214" s="28" t="str">
        <f t="shared" si="12"/>
        <v>12-18</v>
      </c>
      <c r="X214" s="28" t="str">
        <f t="shared" si="12"/>
        <v>19-25</v>
      </c>
      <c r="Y214" s="28" t="str">
        <f t="shared" si="12"/>
        <v>26-31</v>
      </c>
      <c r="Z214" s="28" t="str">
        <f t="shared" si="12"/>
        <v>1-8</v>
      </c>
      <c r="AA214" s="28" t="str">
        <f t="shared" si="12"/>
        <v>9-15</v>
      </c>
      <c r="AB214" s="28" t="str">
        <f t="shared" si="12"/>
        <v>16-22</v>
      </c>
      <c r="AC214" s="28" t="str">
        <f t="shared" si="12"/>
        <v>23-30</v>
      </c>
    </row>
    <row r="215" spans="1:29" ht="18" x14ac:dyDescent="0.2">
      <c r="A215" s="25"/>
      <c r="B215" s="26" t="s">
        <v>4</v>
      </c>
      <c r="C215" s="22" t="s">
        <v>12</v>
      </c>
      <c r="D215" s="22" t="s">
        <v>12</v>
      </c>
      <c r="E215" s="22" t="s">
        <v>12</v>
      </c>
      <c r="F215" s="22" t="s">
        <v>12</v>
      </c>
      <c r="G215" s="22" t="s">
        <v>12</v>
      </c>
      <c r="H215" s="22" t="s">
        <v>12</v>
      </c>
      <c r="I215" s="22" t="s">
        <v>12</v>
      </c>
      <c r="J215" s="22" t="s">
        <v>12</v>
      </c>
      <c r="K215" s="22" t="s">
        <v>12</v>
      </c>
      <c r="L215" s="22" t="s">
        <v>12</v>
      </c>
      <c r="M215" s="22" t="s">
        <v>12</v>
      </c>
      <c r="N215" s="22" t="s">
        <v>12</v>
      </c>
      <c r="O215" s="22" t="s">
        <v>12</v>
      </c>
      <c r="P215" s="22" t="s">
        <v>12</v>
      </c>
      <c r="Q215" s="22" t="s">
        <v>12</v>
      </c>
      <c r="R215" s="22" t="s">
        <v>12</v>
      </c>
      <c r="S215" s="22" t="s">
        <v>12</v>
      </c>
      <c r="T215" s="22" t="s">
        <v>12</v>
      </c>
      <c r="U215" s="22" t="s">
        <v>12</v>
      </c>
      <c r="V215" s="22" t="s">
        <v>12</v>
      </c>
      <c r="W215" s="22" t="s">
        <v>12</v>
      </c>
      <c r="X215" s="22" t="s">
        <v>12</v>
      </c>
      <c r="Y215" s="22" t="s">
        <v>12</v>
      </c>
      <c r="Z215" s="22" t="s">
        <v>12</v>
      </c>
      <c r="AA215" s="22" t="s">
        <v>12</v>
      </c>
      <c r="AB215" s="22" t="s">
        <v>12</v>
      </c>
      <c r="AC215" s="22" t="s">
        <v>12</v>
      </c>
    </row>
    <row r="216" spans="1:29" ht="18.75" customHeight="1" x14ac:dyDescent="0.2">
      <c r="A216" s="70" t="s">
        <v>63</v>
      </c>
      <c r="B216" s="27" t="s">
        <v>5</v>
      </c>
      <c r="C216" s="28" t="s">
        <v>60</v>
      </c>
      <c r="D216" s="28" t="s">
        <v>60</v>
      </c>
      <c r="E216" s="28" t="s">
        <v>60</v>
      </c>
      <c r="F216" s="28" t="s">
        <v>60</v>
      </c>
      <c r="G216" s="28" t="s">
        <v>60</v>
      </c>
      <c r="H216" s="28" t="s">
        <v>60</v>
      </c>
      <c r="I216" s="28" t="s">
        <v>60</v>
      </c>
      <c r="J216" s="28" t="s">
        <v>60</v>
      </c>
      <c r="K216" s="28" t="s">
        <v>60</v>
      </c>
      <c r="L216" s="28" t="s">
        <v>60</v>
      </c>
      <c r="M216" s="28" t="s">
        <v>60</v>
      </c>
      <c r="N216" s="28" t="s">
        <v>60</v>
      </c>
      <c r="O216" s="28" t="s">
        <v>60</v>
      </c>
      <c r="P216" s="28" t="s">
        <v>60</v>
      </c>
      <c r="Q216" s="28" t="s">
        <v>60</v>
      </c>
      <c r="R216" s="28" t="s">
        <v>60</v>
      </c>
      <c r="S216" s="28" t="s">
        <v>60</v>
      </c>
      <c r="T216" s="28" t="s">
        <v>60</v>
      </c>
      <c r="U216" s="28" t="s">
        <v>60</v>
      </c>
      <c r="V216" s="28" t="s">
        <v>60</v>
      </c>
      <c r="W216" s="28" t="s">
        <v>60</v>
      </c>
      <c r="X216" s="28" t="s">
        <v>60</v>
      </c>
      <c r="Y216" s="28" t="s">
        <v>60</v>
      </c>
      <c r="Z216" s="28" t="s">
        <v>60</v>
      </c>
      <c r="AA216" s="28" t="s">
        <v>60</v>
      </c>
      <c r="AB216" s="28" t="s">
        <v>60</v>
      </c>
      <c r="AC216" s="28" t="s">
        <v>60</v>
      </c>
    </row>
    <row r="217" spans="1:29" ht="18" x14ac:dyDescent="0.2">
      <c r="A217" s="70"/>
      <c r="B217" s="27" t="s">
        <v>6</v>
      </c>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row>
    <row r="218" spans="1:29" ht="18" x14ac:dyDescent="0.2">
      <c r="A218" s="70"/>
      <c r="B218" s="27" t="s">
        <v>3</v>
      </c>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row>
    <row r="219" spans="1:29" ht="18.75" customHeight="1" x14ac:dyDescent="0.2">
      <c r="A219" s="70"/>
      <c r="B219" s="27" t="s">
        <v>5</v>
      </c>
      <c r="C219" s="35"/>
      <c r="D219" s="28"/>
      <c r="E219" s="35"/>
      <c r="F219" s="35"/>
      <c r="G219" s="29"/>
      <c r="H219" s="28"/>
      <c r="I219" s="28"/>
      <c r="J219" s="28"/>
      <c r="K219" s="29"/>
      <c r="L219" s="28"/>
      <c r="M219" s="28"/>
      <c r="N219" s="28"/>
      <c r="O219" s="28"/>
      <c r="P219" s="29"/>
      <c r="Q219" s="28"/>
      <c r="R219" s="28"/>
      <c r="S219" s="28"/>
      <c r="T219" s="29"/>
      <c r="U219" s="28"/>
      <c r="V219" s="28"/>
      <c r="W219" s="28"/>
      <c r="X219" s="28"/>
      <c r="Y219" s="29"/>
      <c r="Z219" s="28"/>
      <c r="AA219" s="28"/>
      <c r="AB219" s="22"/>
      <c r="AC219" s="29"/>
    </row>
    <row r="220" spans="1:29" ht="18" x14ac:dyDescent="0.2">
      <c r="A220" s="70"/>
      <c r="B220" s="27" t="s">
        <v>6</v>
      </c>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row>
    <row r="221" spans="1:29" ht="18" x14ac:dyDescent="0.2">
      <c r="A221" s="70"/>
      <c r="B221" s="27" t="s">
        <v>3</v>
      </c>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row>
    <row r="222" spans="1:29" ht="18" x14ac:dyDescent="0.2">
      <c r="A222" s="70"/>
      <c r="B222" s="27" t="s">
        <v>5</v>
      </c>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2"/>
      <c r="AC222" s="28"/>
    </row>
    <row r="223" spans="1:29" ht="18" x14ac:dyDescent="0.2">
      <c r="A223" s="70"/>
      <c r="B223" s="27" t="s">
        <v>6</v>
      </c>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row>
    <row r="224" spans="1:29" ht="18" x14ac:dyDescent="0.2">
      <c r="A224" s="70"/>
      <c r="B224" s="27" t="s">
        <v>3</v>
      </c>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row>
    <row r="225" spans="1:29" ht="18" x14ac:dyDescent="0.2">
      <c r="A225" s="20" t="s">
        <v>0</v>
      </c>
      <c r="B225" s="21" t="s">
        <v>2</v>
      </c>
      <c r="C225" s="76" t="s">
        <v>13</v>
      </c>
      <c r="D225" s="76"/>
      <c r="E225" s="76"/>
      <c r="F225" s="76"/>
      <c r="G225" s="76"/>
      <c r="H225" s="76" t="s">
        <v>14</v>
      </c>
      <c r="I225" s="76"/>
      <c r="J225" s="76"/>
      <c r="K225" s="76"/>
      <c r="L225" s="76" t="s">
        <v>15</v>
      </c>
      <c r="M225" s="76"/>
      <c r="N225" s="76"/>
      <c r="O225" s="76"/>
      <c r="P225" s="76" t="s">
        <v>16</v>
      </c>
      <c r="Q225" s="76"/>
      <c r="R225" s="76"/>
      <c r="S225" s="76"/>
      <c r="T225" s="76"/>
      <c r="U225" s="76" t="s">
        <v>17</v>
      </c>
      <c r="V225" s="76"/>
      <c r="W225" s="76"/>
      <c r="X225" s="76"/>
      <c r="Y225" s="76" t="s">
        <v>18</v>
      </c>
      <c r="Z225" s="76"/>
      <c r="AA225" s="76"/>
      <c r="AB225" s="76"/>
      <c r="AC225" s="76"/>
    </row>
    <row r="226" spans="1:29" ht="18" x14ac:dyDescent="0.2">
      <c r="A226" s="20" t="s">
        <v>1</v>
      </c>
      <c r="B226" s="24" t="s">
        <v>3</v>
      </c>
      <c r="C226" s="35" t="str">
        <f t="shared" ref="C226:AC226" si="13">C196</f>
        <v>1-6</v>
      </c>
      <c r="D226" s="35" t="str">
        <f t="shared" si="13"/>
        <v>7-13</v>
      </c>
      <c r="E226" s="35" t="str">
        <f t="shared" si="13"/>
        <v>14-20</v>
      </c>
      <c r="F226" s="35" t="str">
        <f t="shared" si="13"/>
        <v>21-27</v>
      </c>
      <c r="G226" s="35" t="str">
        <f t="shared" si="13"/>
        <v>28-31</v>
      </c>
      <c r="H226" s="35" t="str">
        <f t="shared" si="13"/>
        <v>1-10</v>
      </c>
      <c r="I226" s="35" t="str">
        <f t="shared" si="13"/>
        <v>11-17</v>
      </c>
      <c r="J226" s="35" t="str">
        <f t="shared" si="13"/>
        <v>18-24</v>
      </c>
      <c r="K226" s="35" t="str">
        <f t="shared" si="13"/>
        <v>25-31</v>
      </c>
      <c r="L226" s="35" t="str">
        <f t="shared" si="13"/>
        <v>1-7</v>
      </c>
      <c r="M226" s="35" t="str">
        <f t="shared" si="13"/>
        <v>8-14</v>
      </c>
      <c r="N226" s="35" t="str">
        <f t="shared" si="13"/>
        <v>15-21</v>
      </c>
      <c r="O226" s="35" t="str">
        <f t="shared" si="13"/>
        <v>22-30</v>
      </c>
      <c r="P226" s="35" t="str">
        <f t="shared" si="13"/>
        <v>1-5</v>
      </c>
      <c r="Q226" s="35" t="str">
        <f t="shared" si="13"/>
        <v>6-12</v>
      </c>
      <c r="R226" s="35" t="str">
        <f t="shared" si="13"/>
        <v>13-19</v>
      </c>
      <c r="S226" s="35" t="str">
        <f t="shared" si="13"/>
        <v>20-26</v>
      </c>
      <c r="T226" s="35" t="str">
        <f t="shared" si="13"/>
        <v>27-31</v>
      </c>
      <c r="U226" s="35" t="str">
        <f t="shared" si="13"/>
        <v>1-9</v>
      </c>
      <c r="V226" s="35" t="str">
        <f t="shared" si="13"/>
        <v>10-16</v>
      </c>
      <c r="W226" s="35" t="str">
        <f t="shared" si="13"/>
        <v>17-23</v>
      </c>
      <c r="X226" s="35" t="str">
        <f t="shared" si="13"/>
        <v>24-30</v>
      </c>
      <c r="Y226" s="35" t="str">
        <f t="shared" si="13"/>
        <v>1-7</v>
      </c>
      <c r="Z226" s="35" t="str">
        <f t="shared" si="13"/>
        <v>8-14</v>
      </c>
      <c r="AA226" s="35" t="str">
        <f t="shared" si="13"/>
        <v>15-21</v>
      </c>
      <c r="AB226" s="35" t="str">
        <f t="shared" si="13"/>
        <v>22-28</v>
      </c>
      <c r="AC226" s="35" t="str">
        <f t="shared" si="13"/>
        <v>29-31</v>
      </c>
    </row>
    <row r="227" spans="1:29" ht="18" x14ac:dyDescent="0.2">
      <c r="A227" s="34"/>
      <c r="B227" s="26" t="s">
        <v>4</v>
      </c>
      <c r="C227" s="22" t="s">
        <v>12</v>
      </c>
      <c r="D227" s="22" t="s">
        <v>12</v>
      </c>
      <c r="E227" s="22" t="s">
        <v>12</v>
      </c>
      <c r="F227" s="22" t="s">
        <v>12</v>
      </c>
      <c r="G227" s="22" t="s">
        <v>12</v>
      </c>
      <c r="H227" s="22" t="s">
        <v>12</v>
      </c>
      <c r="I227" s="22" t="s">
        <v>12</v>
      </c>
      <c r="J227" s="22" t="s">
        <v>12</v>
      </c>
      <c r="K227" s="22" t="s">
        <v>12</v>
      </c>
      <c r="L227" s="22" t="s">
        <v>12</v>
      </c>
      <c r="M227" s="22" t="s">
        <v>12</v>
      </c>
      <c r="N227" s="22" t="s">
        <v>12</v>
      </c>
      <c r="O227" s="22" t="s">
        <v>12</v>
      </c>
      <c r="P227" s="22" t="s">
        <v>12</v>
      </c>
      <c r="Q227" s="22" t="s">
        <v>12</v>
      </c>
      <c r="R227" s="22" t="s">
        <v>12</v>
      </c>
      <c r="S227" s="22" t="s">
        <v>12</v>
      </c>
      <c r="T227" s="22" t="s">
        <v>12</v>
      </c>
      <c r="U227" s="22" t="s">
        <v>12</v>
      </c>
      <c r="V227" s="22" t="s">
        <v>12</v>
      </c>
      <c r="W227" s="22" t="s">
        <v>12</v>
      </c>
      <c r="X227" s="22" t="s">
        <v>12</v>
      </c>
      <c r="Y227" s="22" t="s">
        <v>12</v>
      </c>
      <c r="Z227" s="22" t="s">
        <v>12</v>
      </c>
      <c r="AA227" s="22" t="s">
        <v>12</v>
      </c>
      <c r="AB227" s="22" t="s">
        <v>12</v>
      </c>
      <c r="AC227" s="22" t="s">
        <v>12</v>
      </c>
    </row>
    <row r="228" spans="1:29" ht="18.75" customHeight="1" x14ac:dyDescent="0.2">
      <c r="A228" s="70" t="s">
        <v>63</v>
      </c>
      <c r="B228" s="27" t="s">
        <v>5</v>
      </c>
      <c r="C228" s="28" t="s">
        <v>60</v>
      </c>
      <c r="D228" s="28" t="s">
        <v>60</v>
      </c>
      <c r="E228" s="28" t="s">
        <v>60</v>
      </c>
      <c r="F228" s="28" t="s">
        <v>60</v>
      </c>
      <c r="G228" s="28" t="s">
        <v>60</v>
      </c>
      <c r="H228" s="28" t="s">
        <v>60</v>
      </c>
      <c r="I228" s="28" t="s">
        <v>60</v>
      </c>
      <c r="J228" s="28" t="s">
        <v>60</v>
      </c>
      <c r="K228" s="28" t="s">
        <v>60</v>
      </c>
      <c r="L228" s="28" t="s">
        <v>60</v>
      </c>
      <c r="M228" s="28" t="s">
        <v>60</v>
      </c>
      <c r="N228" s="28" t="s">
        <v>60</v>
      </c>
      <c r="O228" s="28" t="s">
        <v>60</v>
      </c>
      <c r="P228" s="28" t="s">
        <v>60</v>
      </c>
      <c r="Q228" s="28" t="s">
        <v>60</v>
      </c>
      <c r="R228" s="28" t="s">
        <v>60</v>
      </c>
      <c r="S228" s="28" t="s">
        <v>60</v>
      </c>
      <c r="T228" s="28" t="s">
        <v>60</v>
      </c>
      <c r="U228" s="28" t="s">
        <v>60</v>
      </c>
      <c r="V228" s="28" t="s">
        <v>60</v>
      </c>
      <c r="W228" s="28" t="s">
        <v>60</v>
      </c>
      <c r="X228" s="28" t="s">
        <v>60</v>
      </c>
      <c r="Y228" s="28" t="s">
        <v>60</v>
      </c>
      <c r="Z228" s="28" t="s">
        <v>60</v>
      </c>
      <c r="AA228" s="28" t="s">
        <v>60</v>
      </c>
      <c r="AB228" s="28" t="s">
        <v>60</v>
      </c>
      <c r="AC228" s="28" t="s">
        <v>60</v>
      </c>
    </row>
    <row r="229" spans="1:29" ht="18" x14ac:dyDescent="0.2">
      <c r="A229" s="70"/>
      <c r="B229" s="27" t="s">
        <v>6</v>
      </c>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row>
    <row r="230" spans="1:29" ht="18" x14ac:dyDescent="0.2">
      <c r="A230" s="70"/>
      <c r="B230" s="27" t="s">
        <v>3</v>
      </c>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row>
    <row r="231" spans="1:29" ht="18.75" customHeight="1" x14ac:dyDescent="0.2">
      <c r="A231" s="70"/>
      <c r="B231" s="27" t="s">
        <v>5</v>
      </c>
      <c r="C231" s="29"/>
      <c r="D231" s="28"/>
      <c r="E231" s="28"/>
      <c r="F231" s="35"/>
      <c r="G231" s="28"/>
      <c r="H231" s="28"/>
      <c r="I231" s="28"/>
      <c r="J231" s="28"/>
      <c r="K231" s="28"/>
      <c r="L231" s="28"/>
      <c r="M231" s="28"/>
      <c r="N231" s="28"/>
      <c r="O231" s="28"/>
      <c r="P231" s="28"/>
      <c r="Q231" s="28"/>
      <c r="R231" s="28"/>
      <c r="S231" s="28"/>
      <c r="T231" s="28"/>
      <c r="U231" s="28"/>
      <c r="V231" s="28"/>
      <c r="W231" s="28"/>
      <c r="X231" s="28"/>
      <c r="Y231" s="28"/>
      <c r="Z231" s="28"/>
      <c r="AA231" s="28"/>
      <c r="AB231" s="22"/>
      <c r="AC231" s="28"/>
    </row>
    <row r="232" spans="1:29" ht="18" x14ac:dyDescent="0.2">
      <c r="A232" s="70"/>
      <c r="B232" s="27" t="s">
        <v>6</v>
      </c>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row>
    <row r="233" spans="1:29" ht="18" x14ac:dyDescent="0.2">
      <c r="A233" s="70"/>
      <c r="B233" s="27" t="s">
        <v>3</v>
      </c>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row>
    <row r="234" spans="1:29" ht="18" x14ac:dyDescent="0.2">
      <c r="A234" s="70"/>
      <c r="B234" s="27" t="s">
        <v>5</v>
      </c>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2"/>
      <c r="AC234" s="28"/>
    </row>
    <row r="235" spans="1:29" ht="18" x14ac:dyDescent="0.2">
      <c r="A235" s="70"/>
      <c r="B235" s="27" t="s">
        <v>6</v>
      </c>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row>
    <row r="236" spans="1:29" ht="18" x14ac:dyDescent="0.2">
      <c r="A236" s="70"/>
      <c r="B236" s="27" t="s">
        <v>3</v>
      </c>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row>
    <row r="237" spans="1:29" ht="18" x14ac:dyDescent="0.4">
      <c r="A237" s="4" t="s">
        <v>219</v>
      </c>
      <c r="B237" s="4"/>
      <c r="C237" s="4"/>
      <c r="D237" s="4"/>
      <c r="E237" s="4"/>
      <c r="F237" s="4"/>
      <c r="G237" s="4"/>
      <c r="H237" s="4"/>
      <c r="I237" s="4"/>
      <c r="J237" s="4"/>
      <c r="K237" s="4"/>
      <c r="L237" s="4"/>
      <c r="M237" s="4"/>
      <c r="N237" s="4"/>
      <c r="O237" s="4"/>
      <c r="P237" s="4"/>
      <c r="Q237" s="4"/>
      <c r="R237" s="4"/>
      <c r="S237" s="4"/>
      <c r="T237" s="4"/>
      <c r="U237" s="4"/>
      <c r="V237" s="4"/>
      <c r="W237" s="71" t="s">
        <v>173</v>
      </c>
      <c r="X237" s="71"/>
      <c r="Y237" s="71"/>
      <c r="Z237" s="71"/>
      <c r="AA237" s="71"/>
      <c r="AB237" s="71"/>
      <c r="AC237" s="71"/>
    </row>
    <row r="238" spans="1:29" ht="18" x14ac:dyDescent="0.4">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spans="1:29" ht="18" x14ac:dyDescent="0.4">
      <c r="A239" s="9"/>
      <c r="B239" s="9"/>
      <c r="C239" s="9"/>
      <c r="D239" s="9"/>
      <c r="E239" s="9"/>
      <c r="F239" s="9"/>
      <c r="G239" s="9"/>
      <c r="H239" s="9"/>
      <c r="I239" s="9"/>
      <c r="J239" s="9"/>
      <c r="K239" s="9"/>
      <c r="L239" s="9"/>
      <c r="M239" s="9"/>
      <c r="N239" s="9"/>
      <c r="O239" s="9"/>
      <c r="P239" s="72" t="s">
        <v>28</v>
      </c>
      <c r="Q239" s="72"/>
      <c r="R239" s="73" t="str">
        <f>R209</f>
        <v>พีรวัส</v>
      </c>
      <c r="S239" s="73"/>
      <c r="T239" s="73"/>
      <c r="U239" s="72" t="s">
        <v>30</v>
      </c>
      <c r="V239" s="72"/>
      <c r="W239" s="73" t="str">
        <f>W209</f>
        <v>วรพงศ์</v>
      </c>
      <c r="X239" s="73"/>
      <c r="Y239" s="73"/>
      <c r="Z239" s="8" t="s">
        <v>29</v>
      </c>
      <c r="AA239" s="74">
        <f>AA209</f>
        <v>46021</v>
      </c>
      <c r="AB239" s="74"/>
      <c r="AC239" s="74"/>
    </row>
    <row r="240" spans="1:29" ht="18" x14ac:dyDescent="0.4">
      <c r="A240" s="4"/>
      <c r="B240" s="4"/>
      <c r="C240" s="4"/>
      <c r="D240" s="4"/>
      <c r="E240" s="4"/>
      <c r="F240" s="4"/>
      <c r="G240" s="4"/>
      <c r="H240" s="4"/>
      <c r="I240" s="4"/>
      <c r="J240" s="4"/>
      <c r="K240" s="4"/>
      <c r="L240" s="4"/>
      <c r="M240" s="4"/>
      <c r="N240" s="4"/>
      <c r="O240" s="4"/>
      <c r="P240" s="12"/>
      <c r="Q240" s="12"/>
      <c r="R240" s="10"/>
      <c r="S240" s="10"/>
      <c r="T240" s="10"/>
      <c r="U240" s="12"/>
      <c r="V240" s="12"/>
      <c r="W240" s="10"/>
      <c r="X240" s="10"/>
      <c r="Y240" s="10"/>
      <c r="Z240" s="12"/>
      <c r="AA240" s="13"/>
      <c r="AB240" s="13"/>
      <c r="AC240" s="13"/>
    </row>
    <row r="241" spans="1:29" ht="23.25" x14ac:dyDescent="0.5">
      <c r="A241" s="80" t="s">
        <v>26</v>
      </c>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row>
    <row r="242" spans="1:29" ht="21" x14ac:dyDescent="0.45">
      <c r="A242" s="6" t="s">
        <v>22</v>
      </c>
      <c r="B242" s="81" t="s">
        <v>64</v>
      </c>
      <c r="C242" s="81"/>
      <c r="D242" s="81"/>
      <c r="E242" s="81"/>
      <c r="F242" s="81"/>
      <c r="G242" s="81"/>
      <c r="H242" s="6" t="s">
        <v>24</v>
      </c>
      <c r="I242" s="82" t="s">
        <v>65</v>
      </c>
      <c r="J242" s="82"/>
      <c r="K242" s="82"/>
      <c r="L242" s="82"/>
      <c r="M242" s="83" t="s">
        <v>25</v>
      </c>
      <c r="N242" s="83"/>
      <c r="O242" s="81" t="s">
        <v>257</v>
      </c>
      <c r="P242" s="81"/>
      <c r="Q242" s="81"/>
      <c r="R242" s="81"/>
      <c r="S242" s="81"/>
      <c r="T242" s="6" t="s">
        <v>20</v>
      </c>
      <c r="U242" s="81">
        <f>$U$2</f>
        <v>2569</v>
      </c>
      <c r="V242" s="81"/>
      <c r="W242" s="83" t="s">
        <v>35</v>
      </c>
      <c r="X242" s="83"/>
      <c r="Y242" s="83"/>
      <c r="Z242" s="1" t="s">
        <v>137</v>
      </c>
      <c r="AA242" s="1"/>
      <c r="AB242" s="1"/>
      <c r="AC242" s="1"/>
    </row>
    <row r="243" spans="1:29" ht="18" x14ac:dyDescent="0.2">
      <c r="A243" s="20" t="s">
        <v>0</v>
      </c>
      <c r="B243" s="21" t="s">
        <v>2</v>
      </c>
      <c r="C243" s="75" t="s">
        <v>32</v>
      </c>
      <c r="D243" s="75"/>
      <c r="E243" s="75"/>
      <c r="F243" s="75"/>
      <c r="G243" s="75"/>
      <c r="H243" s="75" t="s">
        <v>7</v>
      </c>
      <c r="I243" s="75"/>
      <c r="J243" s="75"/>
      <c r="K243" s="75"/>
      <c r="L243" s="77" t="s">
        <v>8</v>
      </c>
      <c r="M243" s="78"/>
      <c r="N243" s="78"/>
      <c r="O243" s="79"/>
      <c r="P243" s="77" t="s">
        <v>9</v>
      </c>
      <c r="Q243" s="78"/>
      <c r="R243" s="78"/>
      <c r="S243" s="78"/>
      <c r="T243" s="79"/>
      <c r="U243" s="75" t="s">
        <v>10</v>
      </c>
      <c r="V243" s="75"/>
      <c r="W243" s="75"/>
      <c r="X243" s="75"/>
      <c r="Y243" s="75"/>
      <c r="Z243" s="75" t="s">
        <v>11</v>
      </c>
      <c r="AA243" s="75"/>
      <c r="AB243" s="75"/>
      <c r="AC243" s="75"/>
    </row>
    <row r="244" spans="1:29" ht="18" x14ac:dyDescent="0.2">
      <c r="A244" s="23" t="s">
        <v>1</v>
      </c>
      <c r="B244" s="24" t="s">
        <v>3</v>
      </c>
      <c r="C244" s="28" t="str">
        <f t="shared" ref="C244:AC244" si="14">C214</f>
        <v>1-5</v>
      </c>
      <c r="D244" s="28" t="str">
        <f t="shared" si="14"/>
        <v>6-12</v>
      </c>
      <c r="E244" s="28" t="str">
        <f t="shared" si="14"/>
        <v>13-19</v>
      </c>
      <c r="F244" s="28" t="str">
        <f t="shared" si="14"/>
        <v>20-26</v>
      </c>
      <c r="G244" s="28" t="str">
        <f t="shared" si="14"/>
        <v>27-31</v>
      </c>
      <c r="H244" s="28" t="str">
        <f t="shared" si="14"/>
        <v>1-9</v>
      </c>
      <c r="I244" s="28" t="str">
        <f t="shared" si="14"/>
        <v>10-16</v>
      </c>
      <c r="J244" s="28" t="str">
        <f t="shared" si="14"/>
        <v>17-23</v>
      </c>
      <c r="K244" s="28" t="str">
        <f t="shared" si="14"/>
        <v>24-28</v>
      </c>
      <c r="L244" s="28" t="str">
        <f t="shared" si="14"/>
        <v>1-9</v>
      </c>
      <c r="M244" s="28" t="str">
        <f t="shared" si="14"/>
        <v>10-16</v>
      </c>
      <c r="N244" s="28" t="str">
        <f t="shared" si="14"/>
        <v>17-23</v>
      </c>
      <c r="O244" s="28" t="str">
        <f t="shared" si="14"/>
        <v>24-31</v>
      </c>
      <c r="P244" s="28" t="str">
        <f t="shared" si="14"/>
        <v>1-6</v>
      </c>
      <c r="Q244" s="28" t="str">
        <f t="shared" si="14"/>
        <v>7-13</v>
      </c>
      <c r="R244" s="28" t="str">
        <f t="shared" si="14"/>
        <v>14-20</v>
      </c>
      <c r="S244" s="28" t="str">
        <f t="shared" si="14"/>
        <v>21-27</v>
      </c>
      <c r="T244" s="28" t="str">
        <f t="shared" si="14"/>
        <v>28-30</v>
      </c>
      <c r="U244" s="28" t="str">
        <f t="shared" si="14"/>
        <v>1-4</v>
      </c>
      <c r="V244" s="28" t="str">
        <f t="shared" si="14"/>
        <v>5-11</v>
      </c>
      <c r="W244" s="28" t="str">
        <f t="shared" si="14"/>
        <v>12-18</v>
      </c>
      <c r="X244" s="28" t="str">
        <f t="shared" si="14"/>
        <v>19-25</v>
      </c>
      <c r="Y244" s="28" t="str">
        <f t="shared" si="14"/>
        <v>26-31</v>
      </c>
      <c r="Z244" s="28" t="str">
        <f t="shared" si="14"/>
        <v>1-8</v>
      </c>
      <c r="AA244" s="28" t="str">
        <f t="shared" si="14"/>
        <v>9-15</v>
      </c>
      <c r="AB244" s="28" t="str">
        <f t="shared" si="14"/>
        <v>16-22</v>
      </c>
      <c r="AC244" s="28" t="str">
        <f t="shared" si="14"/>
        <v>23-30</v>
      </c>
    </row>
    <row r="245" spans="1:29" ht="18" x14ac:dyDescent="0.2">
      <c r="A245" s="25"/>
      <c r="B245" s="26" t="s">
        <v>4</v>
      </c>
      <c r="C245" s="22" t="s">
        <v>12</v>
      </c>
      <c r="D245" s="22" t="s">
        <v>12</v>
      </c>
      <c r="E245" s="22" t="s">
        <v>12</v>
      </c>
      <c r="F245" s="22" t="s">
        <v>12</v>
      </c>
      <c r="G245" s="22" t="s">
        <v>12</v>
      </c>
      <c r="H245" s="22" t="s">
        <v>12</v>
      </c>
      <c r="I245" s="22" t="s">
        <v>12</v>
      </c>
      <c r="J245" s="22" t="s">
        <v>12</v>
      </c>
      <c r="K245" s="22" t="s">
        <v>12</v>
      </c>
      <c r="L245" s="22" t="s">
        <v>12</v>
      </c>
      <c r="M245" s="22" t="s">
        <v>12</v>
      </c>
      <c r="N245" s="22" t="s">
        <v>12</v>
      </c>
      <c r="O245" s="22" t="s">
        <v>12</v>
      </c>
      <c r="P245" s="22" t="s">
        <v>12</v>
      </c>
      <c r="Q245" s="22" t="s">
        <v>12</v>
      </c>
      <c r="R245" s="22" t="s">
        <v>12</v>
      </c>
      <c r="S245" s="22" t="s">
        <v>12</v>
      </c>
      <c r="T245" s="22" t="s">
        <v>12</v>
      </c>
      <c r="U245" s="22" t="s">
        <v>12</v>
      </c>
      <c r="V245" s="22" t="s">
        <v>12</v>
      </c>
      <c r="W245" s="22" t="s">
        <v>12</v>
      </c>
      <c r="X245" s="22" t="s">
        <v>12</v>
      </c>
      <c r="Y245" s="22" t="s">
        <v>12</v>
      </c>
      <c r="Z245" s="22" t="s">
        <v>12</v>
      </c>
      <c r="AA245" s="22" t="s">
        <v>12</v>
      </c>
      <c r="AB245" s="22" t="s">
        <v>12</v>
      </c>
      <c r="AC245" s="22" t="s">
        <v>12</v>
      </c>
    </row>
    <row r="246" spans="1:29" ht="18.75" customHeight="1" x14ac:dyDescent="0.2">
      <c r="A246" s="70" t="s">
        <v>63</v>
      </c>
      <c r="B246" s="27" t="s">
        <v>5</v>
      </c>
      <c r="C246" s="28" t="s">
        <v>60</v>
      </c>
      <c r="D246" s="28" t="s">
        <v>60</v>
      </c>
      <c r="E246" s="28" t="s">
        <v>60</v>
      </c>
      <c r="F246" s="28" t="s">
        <v>60</v>
      </c>
      <c r="G246" s="28" t="s">
        <v>60</v>
      </c>
      <c r="H246" s="28" t="s">
        <v>60</v>
      </c>
      <c r="I246" s="28" t="s">
        <v>60</v>
      </c>
      <c r="J246" s="28" t="s">
        <v>60</v>
      </c>
      <c r="K246" s="28" t="s">
        <v>60</v>
      </c>
      <c r="L246" s="28" t="s">
        <v>60</v>
      </c>
      <c r="M246" s="28" t="s">
        <v>60</v>
      </c>
      <c r="N246" s="28" t="s">
        <v>60</v>
      </c>
      <c r="O246" s="28" t="s">
        <v>60</v>
      </c>
      <c r="P246" s="28" t="s">
        <v>60</v>
      </c>
      <c r="Q246" s="28" t="s">
        <v>60</v>
      </c>
      <c r="R246" s="28" t="s">
        <v>60</v>
      </c>
      <c r="S246" s="28" t="s">
        <v>60</v>
      </c>
      <c r="T246" s="28" t="s">
        <v>60</v>
      </c>
      <c r="U246" s="28" t="s">
        <v>60</v>
      </c>
      <c r="V246" s="28" t="s">
        <v>60</v>
      </c>
      <c r="W246" s="28" t="s">
        <v>60</v>
      </c>
      <c r="X246" s="28" t="s">
        <v>60</v>
      </c>
      <c r="Y246" s="28" t="s">
        <v>60</v>
      </c>
      <c r="Z246" s="28" t="s">
        <v>60</v>
      </c>
      <c r="AA246" s="28" t="s">
        <v>60</v>
      </c>
      <c r="AB246" s="28" t="s">
        <v>60</v>
      </c>
      <c r="AC246" s="28" t="s">
        <v>60</v>
      </c>
    </row>
    <row r="247" spans="1:29" ht="18" x14ac:dyDescent="0.2">
      <c r="A247" s="70"/>
      <c r="B247" s="27" t="s">
        <v>6</v>
      </c>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row>
    <row r="248" spans="1:29" ht="18" x14ac:dyDescent="0.2">
      <c r="A248" s="70"/>
      <c r="B248" s="27" t="s">
        <v>3</v>
      </c>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row>
    <row r="249" spans="1:29" ht="18.75" customHeight="1" x14ac:dyDescent="0.2">
      <c r="A249" s="70"/>
      <c r="B249" s="27" t="s">
        <v>5</v>
      </c>
      <c r="C249" s="35"/>
      <c r="D249" s="28"/>
      <c r="E249" s="35"/>
      <c r="F249" s="35"/>
      <c r="G249" s="29"/>
      <c r="H249" s="28"/>
      <c r="I249" s="28"/>
      <c r="J249" s="28"/>
      <c r="K249" s="29"/>
      <c r="L249" s="28"/>
      <c r="M249" s="28"/>
      <c r="N249" s="28"/>
      <c r="O249" s="28"/>
      <c r="P249" s="29"/>
      <c r="Q249" s="28"/>
      <c r="R249" s="28"/>
      <c r="S249" s="28"/>
      <c r="T249" s="29"/>
      <c r="U249" s="28"/>
      <c r="V249" s="28"/>
      <c r="W249" s="28"/>
      <c r="X249" s="28"/>
      <c r="Y249" s="29"/>
      <c r="Z249" s="28"/>
      <c r="AA249" s="28"/>
      <c r="AB249" s="22"/>
      <c r="AC249" s="29"/>
    </row>
    <row r="250" spans="1:29" ht="18" x14ac:dyDescent="0.2">
      <c r="A250" s="70"/>
      <c r="B250" s="27" t="s">
        <v>6</v>
      </c>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row>
    <row r="251" spans="1:29" ht="18" x14ac:dyDescent="0.2">
      <c r="A251" s="70"/>
      <c r="B251" s="27" t="s">
        <v>3</v>
      </c>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row>
    <row r="252" spans="1:29" ht="18" x14ac:dyDescent="0.2">
      <c r="A252" s="70"/>
      <c r="B252" s="27" t="s">
        <v>5</v>
      </c>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2"/>
      <c r="AC252" s="28"/>
    </row>
    <row r="253" spans="1:29" ht="18" x14ac:dyDescent="0.2">
      <c r="A253" s="70"/>
      <c r="B253" s="27" t="s">
        <v>6</v>
      </c>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row>
    <row r="254" spans="1:29" ht="18" x14ac:dyDescent="0.2">
      <c r="A254" s="70"/>
      <c r="B254" s="27" t="s">
        <v>3</v>
      </c>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row>
    <row r="255" spans="1:29" ht="18" x14ac:dyDescent="0.2">
      <c r="A255" s="20" t="s">
        <v>0</v>
      </c>
      <c r="B255" s="21" t="s">
        <v>2</v>
      </c>
      <c r="C255" s="76" t="s">
        <v>13</v>
      </c>
      <c r="D255" s="76"/>
      <c r="E255" s="76"/>
      <c r="F255" s="76"/>
      <c r="G255" s="76"/>
      <c r="H255" s="76" t="s">
        <v>14</v>
      </c>
      <c r="I255" s="76"/>
      <c r="J255" s="76"/>
      <c r="K255" s="76"/>
      <c r="L255" s="76" t="s">
        <v>15</v>
      </c>
      <c r="M255" s="76"/>
      <c r="N255" s="76"/>
      <c r="O255" s="76"/>
      <c r="P255" s="76" t="s">
        <v>16</v>
      </c>
      <c r="Q255" s="76"/>
      <c r="R255" s="76"/>
      <c r="S255" s="76"/>
      <c r="T255" s="76"/>
      <c r="U255" s="76" t="s">
        <v>17</v>
      </c>
      <c r="V255" s="76"/>
      <c r="W255" s="76"/>
      <c r="X255" s="76"/>
      <c r="Y255" s="76" t="s">
        <v>18</v>
      </c>
      <c r="Z255" s="76"/>
      <c r="AA255" s="76"/>
      <c r="AB255" s="76"/>
      <c r="AC255" s="76"/>
    </row>
    <row r="256" spans="1:29" ht="18" x14ac:dyDescent="0.2">
      <c r="A256" s="20" t="s">
        <v>1</v>
      </c>
      <c r="B256" s="24" t="s">
        <v>3</v>
      </c>
      <c r="C256" s="35" t="str">
        <f t="shared" ref="C256:AC256" si="15">C226</f>
        <v>1-6</v>
      </c>
      <c r="D256" s="35" t="str">
        <f t="shared" si="15"/>
        <v>7-13</v>
      </c>
      <c r="E256" s="35" t="str">
        <f t="shared" si="15"/>
        <v>14-20</v>
      </c>
      <c r="F256" s="35" t="str">
        <f t="shared" si="15"/>
        <v>21-27</v>
      </c>
      <c r="G256" s="35" t="str">
        <f t="shared" si="15"/>
        <v>28-31</v>
      </c>
      <c r="H256" s="35" t="str">
        <f t="shared" si="15"/>
        <v>1-10</v>
      </c>
      <c r="I256" s="35" t="str">
        <f t="shared" si="15"/>
        <v>11-17</v>
      </c>
      <c r="J256" s="35" t="str">
        <f t="shared" si="15"/>
        <v>18-24</v>
      </c>
      <c r="K256" s="35" t="str">
        <f t="shared" si="15"/>
        <v>25-31</v>
      </c>
      <c r="L256" s="35" t="str">
        <f t="shared" si="15"/>
        <v>1-7</v>
      </c>
      <c r="M256" s="35" t="str">
        <f t="shared" si="15"/>
        <v>8-14</v>
      </c>
      <c r="N256" s="35" t="str">
        <f t="shared" si="15"/>
        <v>15-21</v>
      </c>
      <c r="O256" s="35" t="str">
        <f t="shared" si="15"/>
        <v>22-30</v>
      </c>
      <c r="P256" s="35" t="str">
        <f t="shared" si="15"/>
        <v>1-5</v>
      </c>
      <c r="Q256" s="35" t="str">
        <f t="shared" si="15"/>
        <v>6-12</v>
      </c>
      <c r="R256" s="35" t="str">
        <f t="shared" si="15"/>
        <v>13-19</v>
      </c>
      <c r="S256" s="35" t="str">
        <f t="shared" si="15"/>
        <v>20-26</v>
      </c>
      <c r="T256" s="35" t="str">
        <f t="shared" si="15"/>
        <v>27-31</v>
      </c>
      <c r="U256" s="35" t="str">
        <f t="shared" si="15"/>
        <v>1-9</v>
      </c>
      <c r="V256" s="35" t="str">
        <f t="shared" si="15"/>
        <v>10-16</v>
      </c>
      <c r="W256" s="35" t="str">
        <f t="shared" si="15"/>
        <v>17-23</v>
      </c>
      <c r="X256" s="35" t="str">
        <f t="shared" si="15"/>
        <v>24-30</v>
      </c>
      <c r="Y256" s="35" t="str">
        <f t="shared" si="15"/>
        <v>1-7</v>
      </c>
      <c r="Z256" s="35" t="str">
        <f t="shared" si="15"/>
        <v>8-14</v>
      </c>
      <c r="AA256" s="35" t="str">
        <f t="shared" si="15"/>
        <v>15-21</v>
      </c>
      <c r="AB256" s="35" t="str">
        <f t="shared" si="15"/>
        <v>22-28</v>
      </c>
      <c r="AC256" s="35" t="str">
        <f t="shared" si="15"/>
        <v>29-31</v>
      </c>
    </row>
    <row r="257" spans="1:29" ht="18" x14ac:dyDescent="0.2">
      <c r="A257" s="34"/>
      <c r="B257" s="26" t="s">
        <v>4</v>
      </c>
      <c r="C257" s="22" t="s">
        <v>12</v>
      </c>
      <c r="D257" s="22" t="s">
        <v>12</v>
      </c>
      <c r="E257" s="22" t="s">
        <v>12</v>
      </c>
      <c r="F257" s="22" t="s">
        <v>12</v>
      </c>
      <c r="G257" s="22" t="s">
        <v>12</v>
      </c>
      <c r="H257" s="22" t="s">
        <v>12</v>
      </c>
      <c r="I257" s="22" t="s">
        <v>12</v>
      </c>
      <c r="J257" s="22" t="s">
        <v>12</v>
      </c>
      <c r="K257" s="22" t="s">
        <v>12</v>
      </c>
      <c r="L257" s="22" t="s">
        <v>12</v>
      </c>
      <c r="M257" s="22" t="s">
        <v>12</v>
      </c>
      <c r="N257" s="22" t="s">
        <v>12</v>
      </c>
      <c r="O257" s="22" t="s">
        <v>12</v>
      </c>
      <c r="P257" s="22" t="s">
        <v>12</v>
      </c>
      <c r="Q257" s="22" t="s">
        <v>12</v>
      </c>
      <c r="R257" s="22" t="s">
        <v>12</v>
      </c>
      <c r="S257" s="22" t="s">
        <v>12</v>
      </c>
      <c r="T257" s="22" t="s">
        <v>12</v>
      </c>
      <c r="U257" s="22" t="s">
        <v>12</v>
      </c>
      <c r="V257" s="22" t="s">
        <v>12</v>
      </c>
      <c r="W257" s="22" t="s">
        <v>12</v>
      </c>
      <c r="X257" s="22" t="s">
        <v>12</v>
      </c>
      <c r="Y257" s="22" t="s">
        <v>12</v>
      </c>
      <c r="Z257" s="22" t="s">
        <v>12</v>
      </c>
      <c r="AA257" s="22" t="s">
        <v>12</v>
      </c>
      <c r="AB257" s="22" t="s">
        <v>12</v>
      </c>
      <c r="AC257" s="22" t="s">
        <v>12</v>
      </c>
    </row>
    <row r="258" spans="1:29" ht="18.75" customHeight="1" x14ac:dyDescent="0.2">
      <c r="A258" s="70" t="s">
        <v>63</v>
      </c>
      <c r="B258" s="27" t="s">
        <v>5</v>
      </c>
      <c r="C258" s="28" t="s">
        <v>60</v>
      </c>
      <c r="D258" s="28" t="s">
        <v>60</v>
      </c>
      <c r="E258" s="28" t="s">
        <v>60</v>
      </c>
      <c r="F258" s="28" t="s">
        <v>60</v>
      </c>
      <c r="G258" s="28" t="s">
        <v>60</v>
      </c>
      <c r="H258" s="28" t="s">
        <v>60</v>
      </c>
      <c r="I258" s="28" t="s">
        <v>60</v>
      </c>
      <c r="J258" s="28" t="s">
        <v>60</v>
      </c>
      <c r="K258" s="28" t="s">
        <v>60</v>
      </c>
      <c r="L258" s="28" t="s">
        <v>60</v>
      </c>
      <c r="M258" s="28" t="s">
        <v>60</v>
      </c>
      <c r="N258" s="28" t="s">
        <v>60</v>
      </c>
      <c r="O258" s="28" t="s">
        <v>60</v>
      </c>
      <c r="P258" s="28" t="s">
        <v>60</v>
      </c>
      <c r="Q258" s="28" t="s">
        <v>60</v>
      </c>
      <c r="R258" s="28" t="s">
        <v>60</v>
      </c>
      <c r="S258" s="28" t="s">
        <v>60</v>
      </c>
      <c r="T258" s="28" t="s">
        <v>60</v>
      </c>
      <c r="U258" s="28" t="s">
        <v>60</v>
      </c>
      <c r="V258" s="28" t="s">
        <v>60</v>
      </c>
      <c r="W258" s="28" t="s">
        <v>60</v>
      </c>
      <c r="X258" s="28" t="s">
        <v>60</v>
      </c>
      <c r="Y258" s="28" t="s">
        <v>60</v>
      </c>
      <c r="Z258" s="28" t="s">
        <v>60</v>
      </c>
      <c r="AA258" s="28" t="s">
        <v>60</v>
      </c>
      <c r="AB258" s="28" t="s">
        <v>60</v>
      </c>
      <c r="AC258" s="28" t="s">
        <v>60</v>
      </c>
    </row>
    <row r="259" spans="1:29" ht="18" x14ac:dyDescent="0.2">
      <c r="A259" s="70"/>
      <c r="B259" s="27" t="s">
        <v>6</v>
      </c>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row>
    <row r="260" spans="1:29" ht="18" x14ac:dyDescent="0.2">
      <c r="A260" s="70"/>
      <c r="B260" s="27" t="s">
        <v>3</v>
      </c>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row>
    <row r="261" spans="1:29" ht="18.75" customHeight="1" x14ac:dyDescent="0.2">
      <c r="A261" s="70"/>
      <c r="B261" s="27" t="s">
        <v>5</v>
      </c>
      <c r="C261" s="29"/>
      <c r="D261" s="28"/>
      <c r="E261" s="28"/>
      <c r="F261" s="35"/>
      <c r="G261" s="28"/>
      <c r="H261" s="28"/>
      <c r="I261" s="28"/>
      <c r="J261" s="28"/>
      <c r="K261" s="28"/>
      <c r="L261" s="28"/>
      <c r="M261" s="28"/>
      <c r="N261" s="28"/>
      <c r="O261" s="28"/>
      <c r="P261" s="28"/>
      <c r="Q261" s="28"/>
      <c r="R261" s="28"/>
      <c r="S261" s="28"/>
      <c r="T261" s="28"/>
      <c r="U261" s="28"/>
      <c r="V261" s="28"/>
      <c r="W261" s="28"/>
      <c r="X261" s="28"/>
      <c r="Y261" s="28"/>
      <c r="Z261" s="28"/>
      <c r="AA261" s="28"/>
      <c r="AB261" s="22"/>
      <c r="AC261" s="28"/>
    </row>
    <row r="262" spans="1:29" ht="18" x14ac:dyDescent="0.2">
      <c r="A262" s="70"/>
      <c r="B262" s="27" t="s">
        <v>6</v>
      </c>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row>
    <row r="263" spans="1:29" ht="18" x14ac:dyDescent="0.2">
      <c r="A263" s="70"/>
      <c r="B263" s="27" t="s">
        <v>3</v>
      </c>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row>
    <row r="264" spans="1:29" ht="18" x14ac:dyDescent="0.2">
      <c r="A264" s="70"/>
      <c r="B264" s="27" t="s">
        <v>5</v>
      </c>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2"/>
      <c r="AC264" s="28"/>
    </row>
    <row r="265" spans="1:29" ht="18" x14ac:dyDescent="0.2">
      <c r="A265" s="70"/>
      <c r="B265" s="27" t="s">
        <v>6</v>
      </c>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row>
    <row r="266" spans="1:29" ht="18" x14ac:dyDescent="0.2">
      <c r="A266" s="70"/>
      <c r="B266" s="27" t="s">
        <v>3</v>
      </c>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row>
    <row r="267" spans="1:29" ht="18" x14ac:dyDescent="0.4">
      <c r="A267" s="4" t="s">
        <v>219</v>
      </c>
      <c r="B267" s="4"/>
      <c r="C267" s="4"/>
      <c r="D267" s="4"/>
      <c r="E267" s="4"/>
      <c r="F267" s="4"/>
      <c r="G267" s="4"/>
      <c r="H267" s="4"/>
      <c r="I267" s="4"/>
      <c r="J267" s="4"/>
      <c r="K267" s="4"/>
      <c r="L267" s="4"/>
      <c r="M267" s="4"/>
      <c r="N267" s="4"/>
      <c r="O267" s="4"/>
      <c r="P267" s="4"/>
      <c r="Q267" s="4"/>
      <c r="R267" s="4"/>
      <c r="S267" s="4"/>
      <c r="T267" s="4"/>
      <c r="U267" s="4"/>
      <c r="V267" s="4"/>
      <c r="W267" s="71" t="s">
        <v>173</v>
      </c>
      <c r="X267" s="71"/>
      <c r="Y267" s="71"/>
      <c r="Z267" s="71"/>
      <c r="AA267" s="71"/>
      <c r="AB267" s="71"/>
      <c r="AC267" s="71"/>
    </row>
    <row r="268" spans="1:29" ht="18" x14ac:dyDescent="0.4">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spans="1:29" ht="18" x14ac:dyDescent="0.4">
      <c r="A269" s="9"/>
      <c r="B269" s="9"/>
      <c r="C269" s="9"/>
      <c r="D269" s="9"/>
      <c r="E269" s="9"/>
      <c r="F269" s="9"/>
      <c r="G269" s="9"/>
      <c r="H269" s="9"/>
      <c r="I269" s="9"/>
      <c r="J269" s="9"/>
      <c r="K269" s="9"/>
      <c r="L269" s="9"/>
      <c r="M269" s="9"/>
      <c r="N269" s="9"/>
      <c r="O269" s="9"/>
      <c r="P269" s="72" t="s">
        <v>28</v>
      </c>
      <c r="Q269" s="72"/>
      <c r="R269" s="73" t="str">
        <f>R239</f>
        <v>พีรวัส</v>
      </c>
      <c r="S269" s="73"/>
      <c r="T269" s="73"/>
      <c r="U269" s="72" t="s">
        <v>30</v>
      </c>
      <c r="V269" s="72"/>
      <c r="W269" s="73" t="str">
        <f>W239</f>
        <v>วรพงศ์</v>
      </c>
      <c r="X269" s="73"/>
      <c r="Y269" s="73"/>
      <c r="Z269" s="8" t="s">
        <v>29</v>
      </c>
      <c r="AA269" s="74">
        <f>AA239</f>
        <v>46021</v>
      </c>
      <c r="AB269" s="74"/>
      <c r="AC269" s="74"/>
    </row>
    <row r="270" spans="1:29" ht="18" x14ac:dyDescent="0.4">
      <c r="A270" s="4"/>
      <c r="B270" s="4"/>
      <c r="C270" s="4"/>
      <c r="D270" s="4"/>
      <c r="E270" s="4"/>
      <c r="F270" s="4"/>
      <c r="G270" s="4"/>
      <c r="H270" s="4"/>
      <c r="I270" s="4"/>
      <c r="J270" s="4"/>
      <c r="K270" s="4"/>
      <c r="L270" s="4"/>
      <c r="M270" s="4"/>
      <c r="N270" s="4"/>
      <c r="O270" s="4"/>
      <c r="P270" s="12"/>
      <c r="Q270" s="12"/>
      <c r="R270" s="10"/>
      <c r="S270" s="10"/>
      <c r="T270" s="10"/>
      <c r="U270" s="12"/>
      <c r="V270" s="12"/>
      <c r="W270" s="10"/>
      <c r="X270" s="10"/>
      <c r="Y270" s="10"/>
      <c r="Z270" s="12"/>
      <c r="AA270" s="13"/>
      <c r="AB270" s="13"/>
      <c r="AC270" s="13"/>
    </row>
    <row r="271" spans="1:29" ht="23.25" x14ac:dyDescent="0.5">
      <c r="A271" s="80" t="s">
        <v>26</v>
      </c>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row>
    <row r="272" spans="1:29" ht="21" x14ac:dyDescent="0.45">
      <c r="A272" s="6" t="s">
        <v>22</v>
      </c>
      <c r="B272" s="81" t="s">
        <v>66</v>
      </c>
      <c r="C272" s="81"/>
      <c r="D272" s="81"/>
      <c r="E272" s="81"/>
      <c r="F272" s="81"/>
      <c r="G272" s="81"/>
      <c r="H272" s="6" t="s">
        <v>24</v>
      </c>
      <c r="I272" s="84" t="s">
        <v>67</v>
      </c>
      <c r="J272" s="88"/>
      <c r="K272" s="88"/>
      <c r="L272" s="88"/>
      <c r="M272" s="83" t="s">
        <v>25</v>
      </c>
      <c r="N272" s="83"/>
      <c r="O272" s="81" t="s">
        <v>71</v>
      </c>
      <c r="P272" s="81"/>
      <c r="Q272" s="81"/>
      <c r="R272" s="81"/>
      <c r="S272" s="81"/>
      <c r="T272" s="6" t="s">
        <v>20</v>
      </c>
      <c r="U272" s="81">
        <f>$U$2</f>
        <v>2569</v>
      </c>
      <c r="V272" s="81"/>
      <c r="W272" s="83" t="s">
        <v>35</v>
      </c>
      <c r="X272" s="83"/>
      <c r="Y272" s="83"/>
      <c r="Z272" s="1" t="s">
        <v>21</v>
      </c>
      <c r="AA272" s="1"/>
      <c r="AB272" s="1"/>
      <c r="AC272" s="1"/>
    </row>
    <row r="273" spans="1:29" ht="18" x14ac:dyDescent="0.2">
      <c r="A273" s="20" t="s">
        <v>0</v>
      </c>
      <c r="B273" s="21" t="s">
        <v>2</v>
      </c>
      <c r="C273" s="75" t="s">
        <v>32</v>
      </c>
      <c r="D273" s="75"/>
      <c r="E273" s="75"/>
      <c r="F273" s="75"/>
      <c r="G273" s="75"/>
      <c r="H273" s="75" t="s">
        <v>7</v>
      </c>
      <c r="I273" s="75"/>
      <c r="J273" s="75"/>
      <c r="K273" s="75"/>
      <c r="L273" s="77" t="s">
        <v>8</v>
      </c>
      <c r="M273" s="78"/>
      <c r="N273" s="78"/>
      <c r="O273" s="79"/>
      <c r="P273" s="77" t="s">
        <v>9</v>
      </c>
      <c r="Q273" s="78"/>
      <c r="R273" s="78"/>
      <c r="S273" s="78"/>
      <c r="T273" s="79"/>
      <c r="U273" s="75" t="s">
        <v>10</v>
      </c>
      <c r="V273" s="75"/>
      <c r="W273" s="75"/>
      <c r="X273" s="75"/>
      <c r="Y273" s="75"/>
      <c r="Z273" s="75" t="s">
        <v>11</v>
      </c>
      <c r="AA273" s="75"/>
      <c r="AB273" s="75"/>
      <c r="AC273" s="75"/>
    </row>
    <row r="274" spans="1:29" ht="18" x14ac:dyDescent="0.2">
      <c r="A274" s="23" t="s">
        <v>1</v>
      </c>
      <c r="B274" s="24" t="s">
        <v>3</v>
      </c>
      <c r="C274" s="35" t="str">
        <f t="shared" ref="C274:AC274" si="16">C4</f>
        <v>1-5</v>
      </c>
      <c r="D274" s="35" t="str">
        <f t="shared" si="16"/>
        <v>6-12</v>
      </c>
      <c r="E274" s="35" t="str">
        <f t="shared" si="16"/>
        <v>13-19</v>
      </c>
      <c r="F274" s="35" t="str">
        <f t="shared" si="16"/>
        <v>20-26</v>
      </c>
      <c r="G274" s="35" t="str">
        <f t="shared" si="16"/>
        <v>27-31</v>
      </c>
      <c r="H274" s="35" t="str">
        <f t="shared" si="16"/>
        <v>1-9</v>
      </c>
      <c r="I274" s="35" t="str">
        <f t="shared" si="16"/>
        <v>10-16</v>
      </c>
      <c r="J274" s="35" t="str">
        <f t="shared" si="16"/>
        <v>17-23</v>
      </c>
      <c r="K274" s="35" t="str">
        <f t="shared" si="16"/>
        <v>24-28</v>
      </c>
      <c r="L274" s="35" t="str">
        <f t="shared" si="16"/>
        <v>1-9</v>
      </c>
      <c r="M274" s="35" t="str">
        <f t="shared" si="16"/>
        <v>10-16</v>
      </c>
      <c r="N274" s="35" t="str">
        <f t="shared" si="16"/>
        <v>17-23</v>
      </c>
      <c r="O274" s="35" t="str">
        <f t="shared" si="16"/>
        <v>24-31</v>
      </c>
      <c r="P274" s="35" t="str">
        <f t="shared" si="16"/>
        <v>1-6</v>
      </c>
      <c r="Q274" s="35" t="str">
        <f t="shared" si="16"/>
        <v>7-13</v>
      </c>
      <c r="R274" s="35" t="str">
        <f t="shared" si="16"/>
        <v>14-20</v>
      </c>
      <c r="S274" s="35" t="str">
        <f t="shared" si="16"/>
        <v>21-27</v>
      </c>
      <c r="T274" s="35" t="str">
        <f t="shared" si="16"/>
        <v>28-30</v>
      </c>
      <c r="U274" s="35" t="str">
        <f t="shared" si="16"/>
        <v>1-4</v>
      </c>
      <c r="V274" s="35" t="str">
        <f t="shared" si="16"/>
        <v>5-11</v>
      </c>
      <c r="W274" s="35" t="str">
        <f t="shared" si="16"/>
        <v>12-18</v>
      </c>
      <c r="X274" s="35" t="str">
        <f t="shared" si="16"/>
        <v>19-25</v>
      </c>
      <c r="Y274" s="35" t="str">
        <f t="shared" si="16"/>
        <v>26-31</v>
      </c>
      <c r="Z274" s="35" t="str">
        <f t="shared" si="16"/>
        <v>1-8</v>
      </c>
      <c r="AA274" s="35" t="str">
        <f t="shared" si="16"/>
        <v>9-15</v>
      </c>
      <c r="AB274" s="35" t="str">
        <f t="shared" si="16"/>
        <v>16-22</v>
      </c>
      <c r="AC274" s="35" t="str">
        <f t="shared" si="16"/>
        <v>23-30</v>
      </c>
    </row>
    <row r="275" spans="1:29" ht="18" x14ac:dyDescent="0.2">
      <c r="A275" s="25"/>
      <c r="B275" s="26" t="s">
        <v>4</v>
      </c>
      <c r="C275" s="22" t="s">
        <v>12</v>
      </c>
      <c r="D275" s="22" t="s">
        <v>12</v>
      </c>
      <c r="E275" s="22" t="s">
        <v>12</v>
      </c>
      <c r="F275" s="22" t="s">
        <v>12</v>
      </c>
      <c r="G275" s="22" t="s">
        <v>12</v>
      </c>
      <c r="H275" s="22" t="s">
        <v>12</v>
      </c>
      <c r="I275" s="22" t="s">
        <v>12</v>
      </c>
      <c r="J275" s="22" t="s">
        <v>12</v>
      </c>
      <c r="K275" s="22" t="s">
        <v>12</v>
      </c>
      <c r="L275" s="22" t="s">
        <v>12</v>
      </c>
      <c r="M275" s="22" t="s">
        <v>12</v>
      </c>
      <c r="N275" s="22" t="s">
        <v>12</v>
      </c>
      <c r="O275" s="22" t="s">
        <v>12</v>
      </c>
      <c r="P275" s="22" t="s">
        <v>12</v>
      </c>
      <c r="Q275" s="22" t="s">
        <v>12</v>
      </c>
      <c r="R275" s="22" t="s">
        <v>12</v>
      </c>
      <c r="S275" s="22" t="s">
        <v>12</v>
      </c>
      <c r="T275" s="22" t="s">
        <v>12</v>
      </c>
      <c r="U275" s="22" t="s">
        <v>12</v>
      </c>
      <c r="V275" s="22" t="s">
        <v>12</v>
      </c>
      <c r="W275" s="22" t="s">
        <v>12</v>
      </c>
      <c r="X275" s="22" t="s">
        <v>12</v>
      </c>
      <c r="Y275" s="22" t="s">
        <v>12</v>
      </c>
      <c r="Z275" s="22" t="s">
        <v>12</v>
      </c>
      <c r="AA275" s="22" t="s">
        <v>12</v>
      </c>
      <c r="AB275" s="22" t="s">
        <v>12</v>
      </c>
      <c r="AC275" s="22" t="s">
        <v>12</v>
      </c>
    </row>
    <row r="276" spans="1:29" ht="18.75" customHeight="1" x14ac:dyDescent="0.2">
      <c r="A276" s="70" t="s">
        <v>69</v>
      </c>
      <c r="B276" s="27" t="s">
        <v>5</v>
      </c>
      <c r="C276" s="28"/>
      <c r="D276" s="29" t="s">
        <v>60</v>
      </c>
      <c r="E276" s="29"/>
      <c r="F276" s="28"/>
      <c r="G276" s="29" t="s">
        <v>60</v>
      </c>
      <c r="H276" s="28"/>
      <c r="I276" s="29" t="s">
        <v>60</v>
      </c>
      <c r="J276" s="28"/>
      <c r="K276" s="29" t="s">
        <v>60</v>
      </c>
      <c r="L276" s="28"/>
      <c r="M276" s="29" t="s">
        <v>60</v>
      </c>
      <c r="N276" s="29"/>
      <c r="O276" s="29" t="s">
        <v>60</v>
      </c>
      <c r="P276" s="29"/>
      <c r="Q276" s="29" t="s">
        <v>60</v>
      </c>
      <c r="R276" s="29"/>
      <c r="S276" s="29" t="s">
        <v>60</v>
      </c>
      <c r="T276" s="29"/>
      <c r="U276" s="28"/>
      <c r="V276" s="29"/>
      <c r="W276" s="29" t="s">
        <v>60</v>
      </c>
      <c r="X276" s="28"/>
      <c r="Y276" s="29" t="s">
        <v>60</v>
      </c>
      <c r="Z276" s="28"/>
      <c r="AA276" s="29" t="s">
        <v>60</v>
      </c>
      <c r="AB276" s="22"/>
      <c r="AC276" s="29" t="s">
        <v>60</v>
      </c>
    </row>
    <row r="277" spans="1:29" ht="18" x14ac:dyDescent="0.2">
      <c r="A277" s="70"/>
      <c r="B277" s="27" t="s">
        <v>6</v>
      </c>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row>
    <row r="278" spans="1:29" ht="18" x14ac:dyDescent="0.2">
      <c r="A278" s="70"/>
      <c r="B278" s="27" t="s">
        <v>3</v>
      </c>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row>
    <row r="279" spans="1:29" ht="18.75" customHeight="1" x14ac:dyDescent="0.2">
      <c r="A279" s="70"/>
      <c r="B279" s="27" t="s">
        <v>5</v>
      </c>
      <c r="C279" s="35"/>
      <c r="D279" s="28"/>
      <c r="E279" s="35"/>
      <c r="F279" s="35"/>
      <c r="G279" s="29"/>
      <c r="H279" s="28"/>
      <c r="I279" s="28"/>
      <c r="J279" s="28"/>
      <c r="K279" s="29"/>
      <c r="L279" s="28"/>
      <c r="M279" s="28"/>
      <c r="N279" s="28"/>
      <c r="O279" s="28"/>
      <c r="P279" s="29"/>
      <c r="Q279" s="28"/>
      <c r="R279" s="28"/>
      <c r="S279" s="28"/>
      <c r="T279" s="29"/>
      <c r="U279" s="28"/>
      <c r="V279" s="28"/>
      <c r="W279" s="28"/>
      <c r="X279" s="28"/>
      <c r="Y279" s="29"/>
      <c r="Z279" s="28"/>
      <c r="AA279" s="28"/>
      <c r="AB279" s="22"/>
      <c r="AC279" s="29"/>
    </row>
    <row r="280" spans="1:29" ht="18" x14ac:dyDescent="0.2">
      <c r="A280" s="70"/>
      <c r="B280" s="27" t="s">
        <v>6</v>
      </c>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row>
    <row r="281" spans="1:29" ht="18" x14ac:dyDescent="0.2">
      <c r="A281" s="70"/>
      <c r="B281" s="27" t="s">
        <v>3</v>
      </c>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row>
    <row r="282" spans="1:29" ht="18" x14ac:dyDescent="0.2">
      <c r="A282" s="70"/>
      <c r="B282" s="27" t="s">
        <v>5</v>
      </c>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2"/>
      <c r="AC282" s="28"/>
    </row>
    <row r="283" spans="1:29" ht="18" x14ac:dyDescent="0.2">
      <c r="A283" s="70"/>
      <c r="B283" s="27" t="s">
        <v>6</v>
      </c>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row>
    <row r="284" spans="1:29" ht="18" x14ac:dyDescent="0.2">
      <c r="A284" s="70"/>
      <c r="B284" s="27" t="s">
        <v>3</v>
      </c>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row>
    <row r="285" spans="1:29" ht="18" x14ac:dyDescent="0.2">
      <c r="A285" s="20" t="s">
        <v>0</v>
      </c>
      <c r="B285" s="21" t="s">
        <v>2</v>
      </c>
      <c r="C285" s="76" t="s">
        <v>13</v>
      </c>
      <c r="D285" s="76"/>
      <c r="E285" s="76"/>
      <c r="F285" s="76"/>
      <c r="G285" s="76"/>
      <c r="H285" s="76" t="s">
        <v>14</v>
      </c>
      <c r="I285" s="76"/>
      <c r="J285" s="76"/>
      <c r="K285" s="76"/>
      <c r="L285" s="76" t="s">
        <v>15</v>
      </c>
      <c r="M285" s="76"/>
      <c r="N285" s="76"/>
      <c r="O285" s="76"/>
      <c r="P285" s="76" t="s">
        <v>16</v>
      </c>
      <c r="Q285" s="76"/>
      <c r="R285" s="76"/>
      <c r="S285" s="76"/>
      <c r="T285" s="76"/>
      <c r="U285" s="76" t="s">
        <v>17</v>
      </c>
      <c r="V285" s="76"/>
      <c r="W285" s="76"/>
      <c r="X285" s="76"/>
      <c r="Y285" s="76" t="s">
        <v>18</v>
      </c>
      <c r="Z285" s="76"/>
      <c r="AA285" s="76"/>
      <c r="AB285" s="76"/>
      <c r="AC285" s="76"/>
    </row>
    <row r="286" spans="1:29" ht="18" x14ac:dyDescent="0.2">
      <c r="A286" s="20" t="s">
        <v>1</v>
      </c>
      <c r="B286" s="24" t="s">
        <v>3</v>
      </c>
      <c r="C286" s="35" t="str">
        <f t="shared" ref="C286:AC286" si="17">C16</f>
        <v>1-6</v>
      </c>
      <c r="D286" s="35" t="str">
        <f t="shared" si="17"/>
        <v>7-13</v>
      </c>
      <c r="E286" s="35" t="str">
        <f t="shared" si="17"/>
        <v>14-20</v>
      </c>
      <c r="F286" s="35" t="str">
        <f t="shared" si="17"/>
        <v>21-27</v>
      </c>
      <c r="G286" s="35" t="str">
        <f t="shared" si="17"/>
        <v>28-31</v>
      </c>
      <c r="H286" s="35" t="str">
        <f t="shared" si="17"/>
        <v>1-10</v>
      </c>
      <c r="I286" s="35" t="str">
        <f t="shared" si="17"/>
        <v>11-17</v>
      </c>
      <c r="J286" s="35" t="str">
        <f t="shared" si="17"/>
        <v>18-24</v>
      </c>
      <c r="K286" s="35" t="str">
        <f t="shared" si="17"/>
        <v>25-31</v>
      </c>
      <c r="L286" s="35" t="str">
        <f t="shared" si="17"/>
        <v>1-7</v>
      </c>
      <c r="M286" s="35" t="str">
        <f t="shared" si="17"/>
        <v>8-14</v>
      </c>
      <c r="N286" s="35" t="str">
        <f t="shared" si="17"/>
        <v>15-21</v>
      </c>
      <c r="O286" s="35" t="str">
        <f t="shared" si="17"/>
        <v>22-30</v>
      </c>
      <c r="P286" s="35" t="str">
        <f t="shared" si="17"/>
        <v>1-5</v>
      </c>
      <c r="Q286" s="35" t="str">
        <f t="shared" si="17"/>
        <v>6-12</v>
      </c>
      <c r="R286" s="35" t="str">
        <f t="shared" si="17"/>
        <v>13-19</v>
      </c>
      <c r="S286" s="35" t="str">
        <f t="shared" si="17"/>
        <v>20-26</v>
      </c>
      <c r="T286" s="35" t="str">
        <f t="shared" si="17"/>
        <v>27-31</v>
      </c>
      <c r="U286" s="35" t="str">
        <f t="shared" si="17"/>
        <v>1-9</v>
      </c>
      <c r="V286" s="35" t="str">
        <f t="shared" si="17"/>
        <v>10-16</v>
      </c>
      <c r="W286" s="35" t="str">
        <f t="shared" si="17"/>
        <v>17-23</v>
      </c>
      <c r="X286" s="35" t="str">
        <f t="shared" si="17"/>
        <v>24-30</v>
      </c>
      <c r="Y286" s="35" t="str">
        <f t="shared" si="17"/>
        <v>1-7</v>
      </c>
      <c r="Z286" s="35" t="str">
        <f t="shared" si="17"/>
        <v>8-14</v>
      </c>
      <c r="AA286" s="35" t="str">
        <f t="shared" si="17"/>
        <v>15-21</v>
      </c>
      <c r="AB286" s="35" t="str">
        <f t="shared" si="17"/>
        <v>22-28</v>
      </c>
      <c r="AC286" s="35" t="str">
        <f t="shared" si="17"/>
        <v>29-31</v>
      </c>
    </row>
    <row r="287" spans="1:29" ht="18" x14ac:dyDescent="0.2">
      <c r="A287" s="34"/>
      <c r="B287" s="26" t="s">
        <v>4</v>
      </c>
      <c r="C287" s="22" t="s">
        <v>12</v>
      </c>
      <c r="D287" s="22" t="s">
        <v>12</v>
      </c>
      <c r="E287" s="22" t="s">
        <v>12</v>
      </c>
      <c r="F287" s="22" t="s">
        <v>12</v>
      </c>
      <c r="G287" s="22" t="s">
        <v>12</v>
      </c>
      <c r="H287" s="22" t="s">
        <v>12</v>
      </c>
      <c r="I287" s="22" t="s">
        <v>12</v>
      </c>
      <c r="J287" s="22" t="s">
        <v>12</v>
      </c>
      <c r="K287" s="22" t="s">
        <v>12</v>
      </c>
      <c r="L287" s="22" t="s">
        <v>12</v>
      </c>
      <c r="M287" s="22" t="s">
        <v>12</v>
      </c>
      <c r="N287" s="22" t="s">
        <v>12</v>
      </c>
      <c r="O287" s="22" t="s">
        <v>12</v>
      </c>
      <c r="P287" s="22" t="s">
        <v>12</v>
      </c>
      <c r="Q287" s="22" t="s">
        <v>12</v>
      </c>
      <c r="R287" s="22" t="s">
        <v>12</v>
      </c>
      <c r="S287" s="22" t="s">
        <v>12</v>
      </c>
      <c r="T287" s="22" t="s">
        <v>12</v>
      </c>
      <c r="U287" s="22" t="s">
        <v>12</v>
      </c>
      <c r="V287" s="22" t="s">
        <v>12</v>
      </c>
      <c r="W287" s="22" t="s">
        <v>12</v>
      </c>
      <c r="X287" s="22" t="s">
        <v>12</v>
      </c>
      <c r="Y287" s="22" t="s">
        <v>12</v>
      </c>
      <c r="Z287" s="22" t="s">
        <v>12</v>
      </c>
      <c r="AA287" s="22" t="s">
        <v>12</v>
      </c>
      <c r="AB287" s="22" t="s">
        <v>12</v>
      </c>
      <c r="AC287" s="22" t="s">
        <v>12</v>
      </c>
    </row>
    <row r="288" spans="1:29" ht="18.75" customHeight="1" x14ac:dyDescent="0.2">
      <c r="A288" s="70" t="s">
        <v>69</v>
      </c>
      <c r="B288" s="27" t="s">
        <v>5</v>
      </c>
      <c r="C288" s="28"/>
      <c r="D288" s="29" t="s">
        <v>60</v>
      </c>
      <c r="E288" s="29"/>
      <c r="F288" s="28"/>
      <c r="G288" s="29" t="s">
        <v>60</v>
      </c>
      <c r="H288" s="28"/>
      <c r="I288" s="29" t="s">
        <v>60</v>
      </c>
      <c r="J288" s="28"/>
      <c r="K288" s="29" t="s">
        <v>60</v>
      </c>
      <c r="L288" s="28"/>
      <c r="M288" s="29" t="s">
        <v>60</v>
      </c>
      <c r="N288" s="28"/>
      <c r="O288" s="29" t="s">
        <v>60</v>
      </c>
      <c r="P288" s="28"/>
      <c r="Q288" s="29"/>
      <c r="R288" s="29" t="s">
        <v>60</v>
      </c>
      <c r="S288" s="28"/>
      <c r="T288" s="29" t="s">
        <v>60</v>
      </c>
      <c r="U288" s="28"/>
      <c r="V288" s="29" t="s">
        <v>60</v>
      </c>
      <c r="W288" s="28"/>
      <c r="X288" s="29" t="s">
        <v>60</v>
      </c>
      <c r="Y288" s="28"/>
      <c r="Z288" s="29" t="s">
        <v>60</v>
      </c>
      <c r="AA288" s="29"/>
      <c r="AB288" s="29" t="s">
        <v>60</v>
      </c>
      <c r="AC288" s="29"/>
    </row>
    <row r="289" spans="1:29" ht="18" x14ac:dyDescent="0.2">
      <c r="A289" s="70"/>
      <c r="B289" s="27" t="s">
        <v>6</v>
      </c>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row>
    <row r="290" spans="1:29" ht="18" x14ac:dyDescent="0.2">
      <c r="A290" s="70"/>
      <c r="B290" s="27" t="s">
        <v>3</v>
      </c>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row>
    <row r="291" spans="1:29" ht="18.75" customHeight="1" x14ac:dyDescent="0.2">
      <c r="A291" s="70"/>
      <c r="B291" s="27" t="s">
        <v>5</v>
      </c>
      <c r="C291" s="29"/>
      <c r="D291" s="28"/>
      <c r="E291" s="28"/>
      <c r="F291" s="35"/>
      <c r="G291" s="28"/>
      <c r="H291" s="28"/>
      <c r="I291" s="28"/>
      <c r="J291" s="28"/>
      <c r="K291" s="28"/>
      <c r="L291" s="28"/>
      <c r="M291" s="28"/>
      <c r="N291" s="28"/>
      <c r="O291" s="28"/>
      <c r="P291" s="28"/>
      <c r="Q291" s="28"/>
      <c r="R291" s="28"/>
      <c r="S291" s="28"/>
      <c r="T291" s="28"/>
      <c r="U291" s="28"/>
      <c r="V291" s="28"/>
      <c r="W291" s="28"/>
      <c r="X291" s="28"/>
      <c r="Y291" s="28"/>
      <c r="Z291" s="28"/>
      <c r="AA291" s="28"/>
      <c r="AB291" s="22"/>
      <c r="AC291" s="28"/>
    </row>
    <row r="292" spans="1:29" ht="18" x14ac:dyDescent="0.2">
      <c r="A292" s="70"/>
      <c r="B292" s="27" t="s">
        <v>6</v>
      </c>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row>
    <row r="293" spans="1:29" ht="18" x14ac:dyDescent="0.2">
      <c r="A293" s="70"/>
      <c r="B293" s="27" t="s">
        <v>3</v>
      </c>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row>
    <row r="294" spans="1:29" ht="18" x14ac:dyDescent="0.2">
      <c r="A294" s="70"/>
      <c r="B294" s="27" t="s">
        <v>5</v>
      </c>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2"/>
      <c r="AC294" s="28"/>
    </row>
    <row r="295" spans="1:29" ht="18" x14ac:dyDescent="0.2">
      <c r="A295" s="70"/>
      <c r="B295" s="27" t="s">
        <v>6</v>
      </c>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row>
    <row r="296" spans="1:29" ht="18" x14ac:dyDescent="0.2">
      <c r="A296" s="70"/>
      <c r="B296" s="27" t="s">
        <v>3</v>
      </c>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row>
    <row r="297" spans="1:29" ht="18" x14ac:dyDescent="0.4">
      <c r="A297" s="4" t="s">
        <v>219</v>
      </c>
      <c r="B297" s="4"/>
      <c r="C297" s="4"/>
      <c r="D297" s="4"/>
      <c r="E297" s="4"/>
      <c r="F297" s="4"/>
      <c r="G297" s="4"/>
      <c r="H297" s="4"/>
      <c r="I297" s="4"/>
      <c r="J297" s="4"/>
      <c r="K297" s="4"/>
      <c r="L297" s="4"/>
      <c r="M297" s="4"/>
      <c r="N297" s="4"/>
      <c r="O297" s="4"/>
      <c r="P297" s="4"/>
      <c r="Q297" s="4"/>
      <c r="R297" s="4"/>
      <c r="S297" s="4"/>
      <c r="T297" s="4"/>
      <c r="U297" s="4"/>
      <c r="V297" s="4"/>
      <c r="W297" s="71" t="s">
        <v>173</v>
      </c>
      <c r="X297" s="71"/>
      <c r="Y297" s="71"/>
      <c r="Z297" s="71"/>
      <c r="AA297" s="71"/>
      <c r="AB297" s="71"/>
      <c r="AC297" s="71"/>
    </row>
    <row r="298" spans="1:29" ht="18" x14ac:dyDescent="0.4">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spans="1:29" ht="18" x14ac:dyDescent="0.4">
      <c r="A299" s="9"/>
      <c r="B299" s="9"/>
      <c r="C299" s="9"/>
      <c r="D299" s="9"/>
      <c r="E299" s="9"/>
      <c r="F299" s="9"/>
      <c r="G299" s="9"/>
      <c r="H299" s="9"/>
      <c r="I299" s="9"/>
      <c r="J299" s="9"/>
      <c r="K299" s="9"/>
      <c r="L299" s="9"/>
      <c r="M299" s="9"/>
      <c r="N299" s="9"/>
      <c r="O299" s="9"/>
      <c r="P299" s="72" t="s">
        <v>28</v>
      </c>
      <c r="Q299" s="72"/>
      <c r="R299" s="73" t="str">
        <f>R269</f>
        <v>พีรวัส</v>
      </c>
      <c r="S299" s="73"/>
      <c r="T299" s="73"/>
      <c r="U299" s="72" t="s">
        <v>30</v>
      </c>
      <c r="V299" s="72"/>
      <c r="W299" s="73" t="str">
        <f>W269</f>
        <v>วรพงศ์</v>
      </c>
      <c r="X299" s="73"/>
      <c r="Y299" s="73"/>
      <c r="Z299" s="8" t="s">
        <v>29</v>
      </c>
      <c r="AA299" s="74">
        <f>AA269</f>
        <v>46021</v>
      </c>
      <c r="AB299" s="74"/>
      <c r="AC299" s="74"/>
    </row>
    <row r="300" spans="1:29" ht="18" x14ac:dyDescent="0.4">
      <c r="A300" s="4"/>
      <c r="B300" s="4"/>
      <c r="C300" s="4"/>
      <c r="D300" s="4"/>
      <c r="E300" s="4"/>
      <c r="F300" s="4"/>
      <c r="G300" s="4"/>
      <c r="H300" s="4"/>
      <c r="I300" s="4"/>
      <c r="J300" s="4"/>
      <c r="K300" s="4"/>
      <c r="L300" s="4"/>
      <c r="M300" s="4"/>
      <c r="N300" s="4"/>
      <c r="O300" s="4"/>
      <c r="P300" s="12"/>
      <c r="Q300" s="12"/>
      <c r="R300" s="10"/>
      <c r="S300" s="10"/>
      <c r="T300" s="10"/>
      <c r="U300" s="12"/>
      <c r="V300" s="12"/>
      <c r="W300" s="10"/>
      <c r="X300" s="10"/>
      <c r="Y300" s="10"/>
      <c r="Z300" s="12"/>
      <c r="AA300" s="13"/>
      <c r="AB300" s="13"/>
      <c r="AC300" s="13"/>
    </row>
    <row r="301" spans="1:29" ht="23.25" x14ac:dyDescent="0.5">
      <c r="A301" s="80" t="s">
        <v>26</v>
      </c>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row>
    <row r="302" spans="1:29" ht="21" x14ac:dyDescent="0.45">
      <c r="A302" s="6" t="s">
        <v>22</v>
      </c>
      <c r="B302" s="81" t="s">
        <v>258</v>
      </c>
      <c r="C302" s="81"/>
      <c r="D302" s="81"/>
      <c r="E302" s="81"/>
      <c r="F302" s="81"/>
      <c r="G302" s="81"/>
      <c r="H302" s="6" t="s">
        <v>24</v>
      </c>
      <c r="I302" s="82" t="s">
        <v>259</v>
      </c>
      <c r="J302" s="82"/>
      <c r="K302" s="82"/>
      <c r="L302" s="82"/>
      <c r="M302" s="83" t="s">
        <v>25</v>
      </c>
      <c r="N302" s="83"/>
      <c r="O302" s="81" t="s">
        <v>71</v>
      </c>
      <c r="P302" s="81"/>
      <c r="Q302" s="81"/>
      <c r="R302" s="81"/>
      <c r="S302" s="81"/>
      <c r="T302" s="6" t="s">
        <v>20</v>
      </c>
      <c r="U302" s="81">
        <f>$U$2</f>
        <v>2569</v>
      </c>
      <c r="V302" s="81"/>
      <c r="W302" s="83" t="s">
        <v>35</v>
      </c>
      <c r="X302" s="83"/>
      <c r="Y302" s="83"/>
      <c r="Z302" s="1" t="s">
        <v>21</v>
      </c>
      <c r="AA302" s="1"/>
      <c r="AB302" s="1"/>
      <c r="AC302" s="1"/>
    </row>
    <row r="303" spans="1:29" ht="18" x14ac:dyDescent="0.2">
      <c r="A303" s="20" t="s">
        <v>0</v>
      </c>
      <c r="B303" s="21" t="s">
        <v>2</v>
      </c>
      <c r="C303" s="75" t="s">
        <v>32</v>
      </c>
      <c r="D303" s="75"/>
      <c r="E303" s="75"/>
      <c r="F303" s="75"/>
      <c r="G303" s="75"/>
      <c r="H303" s="75" t="s">
        <v>7</v>
      </c>
      <c r="I303" s="75"/>
      <c r="J303" s="75"/>
      <c r="K303" s="75"/>
      <c r="L303" s="77" t="s">
        <v>8</v>
      </c>
      <c r="M303" s="78"/>
      <c r="N303" s="78"/>
      <c r="O303" s="79"/>
      <c r="P303" s="77" t="s">
        <v>9</v>
      </c>
      <c r="Q303" s="78"/>
      <c r="R303" s="78"/>
      <c r="S303" s="78"/>
      <c r="T303" s="79"/>
      <c r="U303" s="75" t="s">
        <v>10</v>
      </c>
      <c r="V303" s="75"/>
      <c r="W303" s="75"/>
      <c r="X303" s="75"/>
      <c r="Y303" s="75"/>
      <c r="Z303" s="75" t="s">
        <v>11</v>
      </c>
      <c r="AA303" s="75"/>
      <c r="AB303" s="75"/>
      <c r="AC303" s="75"/>
    </row>
    <row r="304" spans="1:29" ht="18" x14ac:dyDescent="0.2">
      <c r="A304" s="23" t="s">
        <v>1</v>
      </c>
      <c r="B304" s="24" t="s">
        <v>3</v>
      </c>
      <c r="C304" s="28" t="str">
        <f t="shared" ref="C304:AC304" si="18">C184</f>
        <v>1-5</v>
      </c>
      <c r="D304" s="28" t="str">
        <f t="shared" si="18"/>
        <v>6-12</v>
      </c>
      <c r="E304" s="28" t="str">
        <f t="shared" si="18"/>
        <v>13-19</v>
      </c>
      <c r="F304" s="28" t="str">
        <f t="shared" si="18"/>
        <v>20-26</v>
      </c>
      <c r="G304" s="28" t="str">
        <f t="shared" si="18"/>
        <v>27-31</v>
      </c>
      <c r="H304" s="28" t="str">
        <f t="shared" si="18"/>
        <v>1-9</v>
      </c>
      <c r="I304" s="28" t="str">
        <f t="shared" si="18"/>
        <v>10-16</v>
      </c>
      <c r="J304" s="28" t="str">
        <f t="shared" si="18"/>
        <v>17-23</v>
      </c>
      <c r="K304" s="28" t="str">
        <f t="shared" si="18"/>
        <v>24-28</v>
      </c>
      <c r="L304" s="28" t="str">
        <f t="shared" si="18"/>
        <v>1-9</v>
      </c>
      <c r="M304" s="28" t="str">
        <f t="shared" si="18"/>
        <v>10-16</v>
      </c>
      <c r="N304" s="28" t="str">
        <f t="shared" si="18"/>
        <v>17-23</v>
      </c>
      <c r="O304" s="28" t="str">
        <f t="shared" si="18"/>
        <v>24-31</v>
      </c>
      <c r="P304" s="28" t="str">
        <f t="shared" si="18"/>
        <v>1-6</v>
      </c>
      <c r="Q304" s="28" t="str">
        <f t="shared" si="18"/>
        <v>7-13</v>
      </c>
      <c r="R304" s="28" t="str">
        <f t="shared" si="18"/>
        <v>14-20</v>
      </c>
      <c r="S304" s="28" t="str">
        <f t="shared" si="18"/>
        <v>21-27</v>
      </c>
      <c r="T304" s="28" t="str">
        <f t="shared" si="18"/>
        <v>28-30</v>
      </c>
      <c r="U304" s="28" t="str">
        <f t="shared" si="18"/>
        <v>1-4</v>
      </c>
      <c r="V304" s="28" t="str">
        <f t="shared" si="18"/>
        <v>5-11</v>
      </c>
      <c r="W304" s="28" t="str">
        <f t="shared" si="18"/>
        <v>12-18</v>
      </c>
      <c r="X304" s="28" t="str">
        <f t="shared" si="18"/>
        <v>19-25</v>
      </c>
      <c r="Y304" s="28" t="str">
        <f t="shared" si="18"/>
        <v>26-31</v>
      </c>
      <c r="Z304" s="28" t="str">
        <f t="shared" si="18"/>
        <v>1-8</v>
      </c>
      <c r="AA304" s="28" t="str">
        <f t="shared" si="18"/>
        <v>9-15</v>
      </c>
      <c r="AB304" s="28" t="str">
        <f t="shared" si="18"/>
        <v>16-22</v>
      </c>
      <c r="AC304" s="28" t="str">
        <f t="shared" si="18"/>
        <v>23-30</v>
      </c>
    </row>
    <row r="305" spans="1:29" ht="18" x14ac:dyDescent="0.2">
      <c r="A305" s="25"/>
      <c r="B305" s="26" t="s">
        <v>4</v>
      </c>
      <c r="C305" s="22" t="s">
        <v>12</v>
      </c>
      <c r="D305" s="22" t="s">
        <v>12</v>
      </c>
      <c r="E305" s="22" t="s">
        <v>12</v>
      </c>
      <c r="F305" s="22" t="s">
        <v>12</v>
      </c>
      <c r="G305" s="22" t="s">
        <v>12</v>
      </c>
      <c r="H305" s="22" t="s">
        <v>12</v>
      </c>
      <c r="I305" s="22" t="s">
        <v>12</v>
      </c>
      <c r="J305" s="22" t="s">
        <v>12</v>
      </c>
      <c r="K305" s="22" t="s">
        <v>12</v>
      </c>
      <c r="L305" s="22" t="s">
        <v>12</v>
      </c>
      <c r="M305" s="22" t="s">
        <v>12</v>
      </c>
      <c r="N305" s="22" t="s">
        <v>12</v>
      </c>
      <c r="O305" s="22" t="s">
        <v>12</v>
      </c>
      <c r="P305" s="22" t="s">
        <v>12</v>
      </c>
      <c r="Q305" s="22" t="s">
        <v>12</v>
      </c>
      <c r="R305" s="22" t="s">
        <v>12</v>
      </c>
      <c r="S305" s="22" t="s">
        <v>12</v>
      </c>
      <c r="T305" s="22" t="s">
        <v>12</v>
      </c>
      <c r="U305" s="22" t="s">
        <v>12</v>
      </c>
      <c r="V305" s="22" t="s">
        <v>12</v>
      </c>
      <c r="W305" s="22" t="s">
        <v>12</v>
      </c>
      <c r="X305" s="22" t="s">
        <v>12</v>
      </c>
      <c r="Y305" s="22" t="s">
        <v>12</v>
      </c>
      <c r="Z305" s="22" t="s">
        <v>12</v>
      </c>
      <c r="AA305" s="22" t="s">
        <v>12</v>
      </c>
      <c r="AB305" s="22" t="s">
        <v>12</v>
      </c>
      <c r="AC305" s="22" t="s">
        <v>12</v>
      </c>
    </row>
    <row r="306" spans="1:29" ht="18.75" customHeight="1" x14ac:dyDescent="0.2">
      <c r="A306" s="70" t="s">
        <v>215</v>
      </c>
      <c r="B306" s="27" t="s">
        <v>5</v>
      </c>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t="s">
        <v>60</v>
      </c>
      <c r="AA306" s="28"/>
      <c r="AB306" s="22"/>
      <c r="AC306" s="28"/>
    </row>
    <row r="307" spans="1:29" ht="18" x14ac:dyDescent="0.2">
      <c r="A307" s="70"/>
      <c r="B307" s="27" t="s">
        <v>6</v>
      </c>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row>
    <row r="308" spans="1:29" ht="18" x14ac:dyDescent="0.2">
      <c r="A308" s="70"/>
      <c r="B308" s="27" t="s">
        <v>3</v>
      </c>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row>
    <row r="309" spans="1:29" ht="18.75" customHeight="1" x14ac:dyDescent="0.2">
      <c r="A309" s="70"/>
      <c r="B309" s="27" t="s">
        <v>5</v>
      </c>
      <c r="C309" s="35"/>
      <c r="D309" s="28"/>
      <c r="E309" s="35"/>
      <c r="F309" s="35"/>
      <c r="G309" s="29"/>
      <c r="H309" s="28"/>
      <c r="I309" s="28"/>
      <c r="J309" s="28"/>
      <c r="K309" s="29"/>
      <c r="L309" s="28"/>
      <c r="M309" s="28"/>
      <c r="N309" s="28"/>
      <c r="O309" s="28"/>
      <c r="P309" s="29"/>
      <c r="Q309" s="28"/>
      <c r="R309" s="28"/>
      <c r="S309" s="28"/>
      <c r="T309" s="29"/>
      <c r="U309" s="28"/>
      <c r="V309" s="28"/>
      <c r="W309" s="28"/>
      <c r="X309" s="28"/>
      <c r="Y309" s="29"/>
      <c r="Z309" s="28"/>
      <c r="AA309" s="28"/>
      <c r="AB309" s="22"/>
      <c r="AC309" s="29"/>
    </row>
    <row r="310" spans="1:29" ht="18" x14ac:dyDescent="0.2">
      <c r="A310" s="70"/>
      <c r="B310" s="27" t="s">
        <v>6</v>
      </c>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row>
    <row r="311" spans="1:29" ht="18" x14ac:dyDescent="0.2">
      <c r="A311" s="70"/>
      <c r="B311" s="27" t="s">
        <v>3</v>
      </c>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row>
    <row r="312" spans="1:29" ht="18" x14ac:dyDescent="0.2">
      <c r="A312" s="70"/>
      <c r="B312" s="27" t="s">
        <v>5</v>
      </c>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2"/>
      <c r="AC312" s="28"/>
    </row>
    <row r="313" spans="1:29" ht="18" x14ac:dyDescent="0.2">
      <c r="A313" s="70"/>
      <c r="B313" s="27" t="s">
        <v>6</v>
      </c>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row>
    <row r="314" spans="1:29" ht="18" x14ac:dyDescent="0.2">
      <c r="A314" s="70"/>
      <c r="B314" s="27" t="s">
        <v>3</v>
      </c>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row>
    <row r="315" spans="1:29" ht="18" x14ac:dyDescent="0.2">
      <c r="A315" s="20" t="s">
        <v>0</v>
      </c>
      <c r="B315" s="21" t="s">
        <v>2</v>
      </c>
      <c r="C315" s="76" t="s">
        <v>13</v>
      </c>
      <c r="D315" s="76"/>
      <c r="E315" s="76"/>
      <c r="F315" s="76"/>
      <c r="G315" s="76"/>
      <c r="H315" s="76" t="s">
        <v>14</v>
      </c>
      <c r="I315" s="76"/>
      <c r="J315" s="76"/>
      <c r="K315" s="76"/>
      <c r="L315" s="76" t="s">
        <v>15</v>
      </c>
      <c r="M315" s="76"/>
      <c r="N315" s="76"/>
      <c r="O315" s="76"/>
      <c r="P315" s="76" t="s">
        <v>16</v>
      </c>
      <c r="Q315" s="76"/>
      <c r="R315" s="76"/>
      <c r="S315" s="76"/>
      <c r="T315" s="76"/>
      <c r="U315" s="76" t="s">
        <v>17</v>
      </c>
      <c r="V315" s="76"/>
      <c r="W315" s="76"/>
      <c r="X315" s="76"/>
      <c r="Y315" s="76" t="s">
        <v>18</v>
      </c>
      <c r="Z315" s="76"/>
      <c r="AA315" s="76"/>
      <c r="AB315" s="76"/>
      <c r="AC315" s="76"/>
    </row>
    <row r="316" spans="1:29" ht="18" x14ac:dyDescent="0.2">
      <c r="A316" s="20" t="s">
        <v>1</v>
      </c>
      <c r="B316" s="24" t="s">
        <v>3</v>
      </c>
      <c r="C316" s="35" t="str">
        <f t="shared" ref="C316:AC316" si="19">C196</f>
        <v>1-6</v>
      </c>
      <c r="D316" s="35" t="str">
        <f t="shared" si="19"/>
        <v>7-13</v>
      </c>
      <c r="E316" s="35" t="str">
        <f t="shared" si="19"/>
        <v>14-20</v>
      </c>
      <c r="F316" s="35" t="str">
        <f t="shared" si="19"/>
        <v>21-27</v>
      </c>
      <c r="G316" s="35" t="str">
        <f t="shared" si="19"/>
        <v>28-31</v>
      </c>
      <c r="H316" s="35" t="str">
        <f t="shared" si="19"/>
        <v>1-10</v>
      </c>
      <c r="I316" s="35" t="str">
        <f t="shared" si="19"/>
        <v>11-17</v>
      </c>
      <c r="J316" s="35" t="str">
        <f t="shared" si="19"/>
        <v>18-24</v>
      </c>
      <c r="K316" s="35" t="str">
        <f t="shared" si="19"/>
        <v>25-31</v>
      </c>
      <c r="L316" s="35" t="str">
        <f t="shared" si="19"/>
        <v>1-7</v>
      </c>
      <c r="M316" s="35" t="str">
        <f t="shared" si="19"/>
        <v>8-14</v>
      </c>
      <c r="N316" s="35" t="str">
        <f t="shared" si="19"/>
        <v>15-21</v>
      </c>
      <c r="O316" s="35" t="str">
        <f t="shared" si="19"/>
        <v>22-30</v>
      </c>
      <c r="P316" s="35" t="str">
        <f t="shared" si="19"/>
        <v>1-5</v>
      </c>
      <c r="Q316" s="35" t="str">
        <f t="shared" si="19"/>
        <v>6-12</v>
      </c>
      <c r="R316" s="35" t="str">
        <f t="shared" si="19"/>
        <v>13-19</v>
      </c>
      <c r="S316" s="35" t="str">
        <f t="shared" si="19"/>
        <v>20-26</v>
      </c>
      <c r="T316" s="35" t="str">
        <f t="shared" si="19"/>
        <v>27-31</v>
      </c>
      <c r="U316" s="35" t="str">
        <f t="shared" si="19"/>
        <v>1-9</v>
      </c>
      <c r="V316" s="35" t="str">
        <f t="shared" si="19"/>
        <v>10-16</v>
      </c>
      <c r="W316" s="35" t="str">
        <f t="shared" si="19"/>
        <v>17-23</v>
      </c>
      <c r="X316" s="35" t="str">
        <f t="shared" si="19"/>
        <v>24-30</v>
      </c>
      <c r="Y316" s="35" t="str">
        <f t="shared" si="19"/>
        <v>1-7</v>
      </c>
      <c r="Z316" s="35" t="str">
        <f t="shared" si="19"/>
        <v>8-14</v>
      </c>
      <c r="AA316" s="35" t="str">
        <f t="shared" si="19"/>
        <v>15-21</v>
      </c>
      <c r="AB316" s="35" t="str">
        <f t="shared" si="19"/>
        <v>22-28</v>
      </c>
      <c r="AC316" s="35" t="str">
        <f t="shared" si="19"/>
        <v>29-31</v>
      </c>
    </row>
    <row r="317" spans="1:29" ht="18" x14ac:dyDescent="0.2">
      <c r="A317" s="34"/>
      <c r="B317" s="26" t="s">
        <v>4</v>
      </c>
      <c r="C317" s="22" t="s">
        <v>12</v>
      </c>
      <c r="D317" s="22" t="s">
        <v>12</v>
      </c>
      <c r="E317" s="22" t="s">
        <v>12</v>
      </c>
      <c r="F317" s="22" t="s">
        <v>12</v>
      </c>
      <c r="G317" s="22" t="s">
        <v>12</v>
      </c>
      <c r="H317" s="22" t="s">
        <v>12</v>
      </c>
      <c r="I317" s="22" t="s">
        <v>12</v>
      </c>
      <c r="J317" s="22" t="s">
        <v>12</v>
      </c>
      <c r="K317" s="22" t="s">
        <v>12</v>
      </c>
      <c r="L317" s="22" t="s">
        <v>12</v>
      </c>
      <c r="M317" s="22" t="s">
        <v>12</v>
      </c>
      <c r="N317" s="22" t="s">
        <v>12</v>
      </c>
      <c r="O317" s="22" t="s">
        <v>12</v>
      </c>
      <c r="P317" s="22" t="s">
        <v>12</v>
      </c>
      <c r="Q317" s="22" t="s">
        <v>12</v>
      </c>
      <c r="R317" s="22" t="s">
        <v>12</v>
      </c>
      <c r="S317" s="22" t="s">
        <v>12</v>
      </c>
      <c r="T317" s="22" t="s">
        <v>12</v>
      </c>
      <c r="U317" s="22" t="s">
        <v>12</v>
      </c>
      <c r="V317" s="22" t="s">
        <v>12</v>
      </c>
      <c r="W317" s="22" t="s">
        <v>12</v>
      </c>
      <c r="X317" s="22" t="s">
        <v>12</v>
      </c>
      <c r="Y317" s="22" t="s">
        <v>12</v>
      </c>
      <c r="Z317" s="22" t="s">
        <v>12</v>
      </c>
      <c r="AA317" s="22" t="s">
        <v>12</v>
      </c>
      <c r="AB317" s="22" t="s">
        <v>12</v>
      </c>
      <c r="AC317" s="22" t="s">
        <v>12</v>
      </c>
    </row>
    <row r="318" spans="1:29" ht="18.75" customHeight="1" x14ac:dyDescent="0.2">
      <c r="A318" s="70" t="s">
        <v>215</v>
      </c>
      <c r="B318" s="27" t="s">
        <v>5</v>
      </c>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t="s">
        <v>60</v>
      </c>
      <c r="AA318" s="28"/>
      <c r="AB318" s="22"/>
      <c r="AC318" s="28"/>
    </row>
    <row r="319" spans="1:29" ht="18" x14ac:dyDescent="0.2">
      <c r="A319" s="70"/>
      <c r="B319" s="27" t="s">
        <v>6</v>
      </c>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row>
    <row r="320" spans="1:29" ht="18" x14ac:dyDescent="0.2">
      <c r="A320" s="70"/>
      <c r="B320" s="27" t="s">
        <v>3</v>
      </c>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row>
    <row r="321" spans="1:29" ht="18.75" customHeight="1" x14ac:dyDescent="0.2">
      <c r="A321" s="70"/>
      <c r="B321" s="27" t="s">
        <v>5</v>
      </c>
      <c r="C321" s="29"/>
      <c r="D321" s="28"/>
      <c r="E321" s="28"/>
      <c r="F321" s="35"/>
      <c r="G321" s="28"/>
      <c r="H321" s="28"/>
      <c r="I321" s="28"/>
      <c r="J321" s="28"/>
      <c r="K321" s="28"/>
      <c r="L321" s="28"/>
      <c r="M321" s="28"/>
      <c r="N321" s="28"/>
      <c r="O321" s="28"/>
      <c r="P321" s="28"/>
      <c r="Q321" s="28"/>
      <c r="R321" s="28"/>
      <c r="S321" s="28"/>
      <c r="T321" s="28"/>
      <c r="U321" s="28"/>
      <c r="V321" s="28"/>
      <c r="W321" s="28"/>
      <c r="X321" s="28"/>
      <c r="Y321" s="28"/>
      <c r="Z321" s="28"/>
      <c r="AA321" s="28"/>
      <c r="AB321" s="22"/>
      <c r="AC321" s="28"/>
    </row>
    <row r="322" spans="1:29" ht="18" x14ac:dyDescent="0.2">
      <c r="A322" s="70"/>
      <c r="B322" s="27" t="s">
        <v>6</v>
      </c>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row>
    <row r="323" spans="1:29" ht="18" x14ac:dyDescent="0.2">
      <c r="A323" s="70"/>
      <c r="B323" s="27" t="s">
        <v>3</v>
      </c>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row>
    <row r="324" spans="1:29" ht="18" x14ac:dyDescent="0.2">
      <c r="A324" s="70"/>
      <c r="B324" s="27" t="s">
        <v>5</v>
      </c>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2"/>
      <c r="AC324" s="28"/>
    </row>
    <row r="325" spans="1:29" ht="18" x14ac:dyDescent="0.2">
      <c r="A325" s="70"/>
      <c r="B325" s="27" t="s">
        <v>6</v>
      </c>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row>
    <row r="326" spans="1:29" ht="18" x14ac:dyDescent="0.2">
      <c r="A326" s="70"/>
      <c r="B326" s="27" t="s">
        <v>3</v>
      </c>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row>
    <row r="327" spans="1:29" ht="18" x14ac:dyDescent="0.4">
      <c r="A327" s="4" t="s">
        <v>219</v>
      </c>
      <c r="B327" s="4"/>
      <c r="C327" s="4"/>
      <c r="D327" s="4"/>
      <c r="E327" s="4"/>
      <c r="F327" s="4"/>
      <c r="G327" s="4"/>
      <c r="H327" s="4"/>
      <c r="I327" s="4"/>
      <c r="J327" s="4"/>
      <c r="K327" s="4"/>
      <c r="L327" s="4"/>
      <c r="M327" s="4"/>
      <c r="N327" s="4"/>
      <c r="O327" s="4"/>
      <c r="P327" s="4"/>
      <c r="Q327" s="4"/>
      <c r="R327" s="4"/>
      <c r="S327" s="4"/>
      <c r="T327" s="4"/>
      <c r="U327" s="4"/>
      <c r="V327" s="4"/>
      <c r="W327" s="71" t="s">
        <v>173</v>
      </c>
      <c r="X327" s="71"/>
      <c r="Y327" s="71"/>
      <c r="Z327" s="71"/>
      <c r="AA327" s="71"/>
      <c r="AB327" s="71"/>
      <c r="AC327" s="71"/>
    </row>
    <row r="328" spans="1:29" ht="18" x14ac:dyDescent="0.4">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spans="1:29" ht="18" x14ac:dyDescent="0.4">
      <c r="A329" s="9"/>
      <c r="B329" s="9"/>
      <c r="C329" s="9"/>
      <c r="D329" s="9"/>
      <c r="E329" s="9"/>
      <c r="F329" s="9"/>
      <c r="G329" s="9"/>
      <c r="H329" s="9"/>
      <c r="I329" s="9"/>
      <c r="J329" s="9"/>
      <c r="K329" s="9"/>
      <c r="L329" s="9"/>
      <c r="M329" s="9"/>
      <c r="N329" s="9"/>
      <c r="O329" s="9"/>
      <c r="P329" s="72" t="s">
        <v>28</v>
      </c>
      <c r="Q329" s="72"/>
      <c r="R329" s="73" t="str">
        <f>R209</f>
        <v>พีรวัส</v>
      </c>
      <c r="S329" s="73"/>
      <c r="T329" s="73"/>
      <c r="U329" s="72" t="s">
        <v>30</v>
      </c>
      <c r="V329" s="72"/>
      <c r="W329" s="73" t="str">
        <f>W209</f>
        <v>วรพงศ์</v>
      </c>
      <c r="X329" s="73"/>
      <c r="Y329" s="73"/>
      <c r="Z329" s="8" t="s">
        <v>29</v>
      </c>
      <c r="AA329" s="74">
        <f>AA209</f>
        <v>46021</v>
      </c>
      <c r="AB329" s="74"/>
      <c r="AC329" s="74"/>
    </row>
    <row r="330" spans="1:29" ht="18" x14ac:dyDescent="0.4">
      <c r="A330" s="4"/>
      <c r="B330" s="4"/>
      <c r="C330" s="4"/>
      <c r="D330" s="4"/>
      <c r="E330" s="4"/>
      <c r="F330" s="4"/>
      <c r="G330" s="4"/>
      <c r="H330" s="4"/>
      <c r="I330" s="4"/>
      <c r="J330" s="4"/>
      <c r="K330" s="4"/>
      <c r="L330" s="4"/>
      <c r="M330" s="4"/>
      <c r="N330" s="4"/>
      <c r="O330" s="4"/>
      <c r="P330" s="12"/>
      <c r="Q330" s="12"/>
      <c r="R330" s="10"/>
      <c r="S330" s="10"/>
      <c r="T330" s="10"/>
      <c r="U330" s="12"/>
      <c r="V330" s="12"/>
      <c r="W330" s="10"/>
      <c r="X330" s="10"/>
      <c r="Y330" s="10"/>
      <c r="Z330" s="12"/>
      <c r="AA330" s="13"/>
      <c r="AB330" s="13"/>
      <c r="AC330" s="13"/>
    </row>
    <row r="331" spans="1:29" ht="23.25" x14ac:dyDescent="0.5">
      <c r="A331" s="80" t="s">
        <v>26</v>
      </c>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row>
    <row r="332" spans="1:29" ht="21" x14ac:dyDescent="0.45">
      <c r="A332" s="6" t="s">
        <v>22</v>
      </c>
      <c r="B332" s="81" t="s">
        <v>162</v>
      </c>
      <c r="C332" s="81"/>
      <c r="D332" s="81"/>
      <c r="E332" s="81"/>
      <c r="F332" s="81"/>
      <c r="G332" s="81"/>
      <c r="H332" s="6" t="s">
        <v>24</v>
      </c>
      <c r="I332" s="82" t="s">
        <v>163</v>
      </c>
      <c r="J332" s="82"/>
      <c r="K332" s="82"/>
      <c r="L332" s="82"/>
      <c r="M332" s="83" t="s">
        <v>25</v>
      </c>
      <c r="N332" s="83"/>
      <c r="O332" s="81" t="s">
        <v>73</v>
      </c>
      <c r="P332" s="81"/>
      <c r="Q332" s="81"/>
      <c r="R332" s="81"/>
      <c r="S332" s="81"/>
      <c r="T332" s="6" t="s">
        <v>20</v>
      </c>
      <c r="U332" s="81">
        <f>$U$2</f>
        <v>2569</v>
      </c>
      <c r="V332" s="81"/>
      <c r="W332" s="83" t="s">
        <v>35</v>
      </c>
      <c r="X332" s="83"/>
      <c r="Y332" s="83"/>
      <c r="Z332" s="1" t="s">
        <v>292</v>
      </c>
      <c r="AA332" s="1"/>
      <c r="AB332" s="1"/>
      <c r="AC332" s="1"/>
    </row>
    <row r="333" spans="1:29" ht="18" x14ac:dyDescent="0.2">
      <c r="A333" s="20" t="s">
        <v>0</v>
      </c>
      <c r="B333" s="21" t="s">
        <v>2</v>
      </c>
      <c r="C333" s="75" t="s">
        <v>32</v>
      </c>
      <c r="D333" s="75"/>
      <c r="E333" s="75"/>
      <c r="F333" s="75"/>
      <c r="G333" s="75"/>
      <c r="H333" s="75" t="s">
        <v>7</v>
      </c>
      <c r="I333" s="75"/>
      <c r="J333" s="75"/>
      <c r="K333" s="75"/>
      <c r="L333" s="77" t="s">
        <v>8</v>
      </c>
      <c r="M333" s="78"/>
      <c r="N333" s="78"/>
      <c r="O333" s="79"/>
      <c r="P333" s="77" t="s">
        <v>9</v>
      </c>
      <c r="Q333" s="78"/>
      <c r="R333" s="78"/>
      <c r="S333" s="78"/>
      <c r="T333" s="79"/>
      <c r="U333" s="75" t="s">
        <v>10</v>
      </c>
      <c r="V333" s="75"/>
      <c r="W333" s="75"/>
      <c r="X333" s="75"/>
      <c r="Y333" s="75"/>
      <c r="Z333" s="75" t="s">
        <v>11</v>
      </c>
      <c r="AA333" s="75"/>
      <c r="AB333" s="75"/>
      <c r="AC333" s="75"/>
    </row>
    <row r="334" spans="1:29" ht="18" x14ac:dyDescent="0.2">
      <c r="A334" s="23" t="s">
        <v>1</v>
      </c>
      <c r="B334" s="24" t="s">
        <v>3</v>
      </c>
      <c r="C334" s="28" t="str">
        <f t="shared" ref="C334:AC334" si="20">C214</f>
        <v>1-5</v>
      </c>
      <c r="D334" s="28" t="str">
        <f t="shared" si="20"/>
        <v>6-12</v>
      </c>
      <c r="E334" s="28" t="str">
        <f t="shared" si="20"/>
        <v>13-19</v>
      </c>
      <c r="F334" s="28" t="str">
        <f t="shared" si="20"/>
        <v>20-26</v>
      </c>
      <c r="G334" s="28" t="str">
        <f t="shared" si="20"/>
        <v>27-31</v>
      </c>
      <c r="H334" s="28" t="str">
        <f t="shared" si="20"/>
        <v>1-9</v>
      </c>
      <c r="I334" s="28" t="str">
        <f t="shared" si="20"/>
        <v>10-16</v>
      </c>
      <c r="J334" s="28" t="str">
        <f t="shared" si="20"/>
        <v>17-23</v>
      </c>
      <c r="K334" s="28" t="str">
        <f t="shared" si="20"/>
        <v>24-28</v>
      </c>
      <c r="L334" s="28" t="str">
        <f t="shared" si="20"/>
        <v>1-9</v>
      </c>
      <c r="M334" s="28" t="str">
        <f t="shared" si="20"/>
        <v>10-16</v>
      </c>
      <c r="N334" s="28" t="str">
        <f t="shared" si="20"/>
        <v>17-23</v>
      </c>
      <c r="O334" s="28" t="str">
        <f t="shared" si="20"/>
        <v>24-31</v>
      </c>
      <c r="P334" s="28" t="str">
        <f t="shared" si="20"/>
        <v>1-6</v>
      </c>
      <c r="Q334" s="28" t="str">
        <f t="shared" si="20"/>
        <v>7-13</v>
      </c>
      <c r="R334" s="28" t="str">
        <f t="shared" si="20"/>
        <v>14-20</v>
      </c>
      <c r="S334" s="28" t="str">
        <f t="shared" si="20"/>
        <v>21-27</v>
      </c>
      <c r="T334" s="28" t="str">
        <f t="shared" si="20"/>
        <v>28-30</v>
      </c>
      <c r="U334" s="28" t="str">
        <f t="shared" si="20"/>
        <v>1-4</v>
      </c>
      <c r="V334" s="28" t="str">
        <f t="shared" si="20"/>
        <v>5-11</v>
      </c>
      <c r="W334" s="28" t="str">
        <f t="shared" si="20"/>
        <v>12-18</v>
      </c>
      <c r="X334" s="28" t="str">
        <f t="shared" si="20"/>
        <v>19-25</v>
      </c>
      <c r="Y334" s="28" t="str">
        <f t="shared" si="20"/>
        <v>26-31</v>
      </c>
      <c r="Z334" s="28" t="str">
        <f t="shared" si="20"/>
        <v>1-8</v>
      </c>
      <c r="AA334" s="28" t="str">
        <f t="shared" si="20"/>
        <v>9-15</v>
      </c>
      <c r="AB334" s="28" t="str">
        <f t="shared" si="20"/>
        <v>16-22</v>
      </c>
      <c r="AC334" s="28" t="str">
        <f t="shared" si="20"/>
        <v>23-30</v>
      </c>
    </row>
    <row r="335" spans="1:29" ht="18" x14ac:dyDescent="0.2">
      <c r="A335" s="25"/>
      <c r="B335" s="26" t="s">
        <v>4</v>
      </c>
      <c r="C335" s="22" t="s">
        <v>12</v>
      </c>
      <c r="D335" s="22" t="s">
        <v>12</v>
      </c>
      <c r="E335" s="22" t="s">
        <v>12</v>
      </c>
      <c r="F335" s="22" t="s">
        <v>12</v>
      </c>
      <c r="G335" s="22" t="s">
        <v>12</v>
      </c>
      <c r="H335" s="22" t="s">
        <v>12</v>
      </c>
      <c r="I335" s="22" t="s">
        <v>12</v>
      </c>
      <c r="J335" s="22" t="s">
        <v>12</v>
      </c>
      <c r="K335" s="22" t="s">
        <v>12</v>
      </c>
      <c r="L335" s="22" t="s">
        <v>12</v>
      </c>
      <c r="M335" s="22" t="s">
        <v>12</v>
      </c>
      <c r="N335" s="22" t="s">
        <v>12</v>
      </c>
      <c r="O335" s="22" t="s">
        <v>12</v>
      </c>
      <c r="P335" s="22" t="s">
        <v>12</v>
      </c>
      <c r="Q335" s="22" t="s">
        <v>12</v>
      </c>
      <c r="R335" s="22" t="s">
        <v>12</v>
      </c>
      <c r="S335" s="22" t="s">
        <v>12</v>
      </c>
      <c r="T335" s="22" t="s">
        <v>12</v>
      </c>
      <c r="U335" s="22" t="s">
        <v>12</v>
      </c>
      <c r="V335" s="22" t="s">
        <v>12</v>
      </c>
      <c r="W335" s="22" t="s">
        <v>12</v>
      </c>
      <c r="X335" s="22" t="s">
        <v>12</v>
      </c>
      <c r="Y335" s="22" t="s">
        <v>12</v>
      </c>
      <c r="Z335" s="22" t="s">
        <v>12</v>
      </c>
      <c r="AA335" s="22" t="s">
        <v>12</v>
      </c>
      <c r="AB335" s="22" t="s">
        <v>12</v>
      </c>
      <c r="AC335" s="22" t="s">
        <v>12</v>
      </c>
    </row>
    <row r="336" spans="1:29" ht="18.75" customHeight="1" x14ac:dyDescent="0.2">
      <c r="A336" s="92" t="s">
        <v>290</v>
      </c>
      <c r="B336" s="27" t="s">
        <v>5</v>
      </c>
      <c r="C336" s="28" t="str">
        <f>IF(C276="","",C276)</f>
        <v/>
      </c>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t="s">
        <v>60</v>
      </c>
    </row>
    <row r="337" spans="1:29" ht="18" x14ac:dyDescent="0.2">
      <c r="A337" s="70"/>
      <c r="B337" s="27" t="s">
        <v>6</v>
      </c>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row>
    <row r="338" spans="1:29" ht="18" x14ac:dyDescent="0.2">
      <c r="A338" s="70"/>
      <c r="B338" s="27" t="s">
        <v>3</v>
      </c>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row>
    <row r="339" spans="1:29" ht="18.75" customHeight="1" x14ac:dyDescent="0.2">
      <c r="A339" s="92" t="s">
        <v>291</v>
      </c>
      <c r="B339" s="27" t="s">
        <v>5</v>
      </c>
      <c r="C339" s="35"/>
      <c r="D339" s="28"/>
      <c r="E339" s="35"/>
      <c r="F339" s="28"/>
      <c r="G339" s="28"/>
      <c r="H339" s="28"/>
      <c r="I339" s="28"/>
      <c r="J339" s="28"/>
      <c r="K339" s="28"/>
      <c r="L339" s="28"/>
      <c r="M339" s="28"/>
      <c r="N339" s="28"/>
      <c r="O339" s="28"/>
      <c r="P339" s="29"/>
      <c r="Q339" s="28"/>
      <c r="R339" s="28"/>
      <c r="S339" s="28"/>
      <c r="T339" s="29"/>
      <c r="U339" s="28"/>
      <c r="V339" s="28"/>
      <c r="W339" s="28"/>
      <c r="X339" s="28"/>
      <c r="Y339" s="29"/>
      <c r="Z339" s="28"/>
      <c r="AA339" s="28"/>
      <c r="AB339" s="22"/>
      <c r="AC339" s="28"/>
    </row>
    <row r="340" spans="1:29" ht="18" x14ac:dyDescent="0.2">
      <c r="A340" s="70"/>
      <c r="B340" s="27" t="s">
        <v>6</v>
      </c>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row>
    <row r="341" spans="1:29" ht="18" x14ac:dyDescent="0.2">
      <c r="A341" s="70"/>
      <c r="B341" s="27" t="s">
        <v>3</v>
      </c>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row>
    <row r="342" spans="1:29" ht="18" x14ac:dyDescent="0.2">
      <c r="A342" s="92"/>
      <c r="B342" s="27" t="s">
        <v>5</v>
      </c>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2"/>
      <c r="AC342" s="28"/>
    </row>
    <row r="343" spans="1:29" ht="18" customHeight="1" x14ac:dyDescent="0.2">
      <c r="A343" s="70"/>
      <c r="B343" s="27" t="s">
        <v>6</v>
      </c>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row>
    <row r="344" spans="1:29" ht="18" x14ac:dyDescent="0.2">
      <c r="A344" s="70"/>
      <c r="B344" s="27" t="s">
        <v>3</v>
      </c>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row>
    <row r="345" spans="1:29" ht="18" x14ac:dyDescent="0.2">
      <c r="A345" s="20" t="s">
        <v>0</v>
      </c>
      <c r="B345" s="21" t="s">
        <v>2</v>
      </c>
      <c r="C345" s="76" t="s">
        <v>13</v>
      </c>
      <c r="D345" s="76"/>
      <c r="E345" s="76"/>
      <c r="F345" s="76"/>
      <c r="G345" s="76"/>
      <c r="H345" s="76" t="s">
        <v>14</v>
      </c>
      <c r="I345" s="76"/>
      <c r="J345" s="76"/>
      <c r="K345" s="76"/>
      <c r="L345" s="76" t="s">
        <v>15</v>
      </c>
      <c r="M345" s="76"/>
      <c r="N345" s="76"/>
      <c r="O345" s="76"/>
      <c r="P345" s="76" t="s">
        <v>16</v>
      </c>
      <c r="Q345" s="76"/>
      <c r="R345" s="76"/>
      <c r="S345" s="76"/>
      <c r="T345" s="76"/>
      <c r="U345" s="76" t="s">
        <v>17</v>
      </c>
      <c r="V345" s="76"/>
      <c r="W345" s="76"/>
      <c r="X345" s="76"/>
      <c r="Y345" s="76" t="s">
        <v>18</v>
      </c>
      <c r="Z345" s="76"/>
      <c r="AA345" s="76"/>
      <c r="AB345" s="76"/>
      <c r="AC345" s="76"/>
    </row>
    <row r="346" spans="1:29" ht="18" x14ac:dyDescent="0.2">
      <c r="A346" s="20" t="s">
        <v>1</v>
      </c>
      <c r="B346" s="24" t="s">
        <v>3</v>
      </c>
      <c r="C346" s="35" t="str">
        <f t="shared" ref="C346:AC346" si="21">C226</f>
        <v>1-6</v>
      </c>
      <c r="D346" s="35" t="str">
        <f t="shared" si="21"/>
        <v>7-13</v>
      </c>
      <c r="E346" s="35" t="str">
        <f t="shared" si="21"/>
        <v>14-20</v>
      </c>
      <c r="F346" s="35" t="str">
        <f t="shared" si="21"/>
        <v>21-27</v>
      </c>
      <c r="G346" s="35" t="str">
        <f t="shared" si="21"/>
        <v>28-31</v>
      </c>
      <c r="H346" s="35" t="str">
        <f t="shared" si="21"/>
        <v>1-10</v>
      </c>
      <c r="I346" s="35" t="str">
        <f t="shared" si="21"/>
        <v>11-17</v>
      </c>
      <c r="J346" s="35" t="str">
        <f t="shared" si="21"/>
        <v>18-24</v>
      </c>
      <c r="K346" s="35" t="str">
        <f t="shared" si="21"/>
        <v>25-31</v>
      </c>
      <c r="L346" s="35" t="str">
        <f t="shared" si="21"/>
        <v>1-7</v>
      </c>
      <c r="M346" s="35" t="str">
        <f t="shared" si="21"/>
        <v>8-14</v>
      </c>
      <c r="N346" s="35" t="str">
        <f t="shared" si="21"/>
        <v>15-21</v>
      </c>
      <c r="O346" s="35" t="str">
        <f t="shared" si="21"/>
        <v>22-30</v>
      </c>
      <c r="P346" s="35" t="str">
        <f t="shared" si="21"/>
        <v>1-5</v>
      </c>
      <c r="Q346" s="35" t="str">
        <f t="shared" si="21"/>
        <v>6-12</v>
      </c>
      <c r="R346" s="35" t="str">
        <f t="shared" si="21"/>
        <v>13-19</v>
      </c>
      <c r="S346" s="35" t="str">
        <f t="shared" si="21"/>
        <v>20-26</v>
      </c>
      <c r="T346" s="35" t="str">
        <f t="shared" si="21"/>
        <v>27-31</v>
      </c>
      <c r="U346" s="35" t="str">
        <f t="shared" si="21"/>
        <v>1-9</v>
      </c>
      <c r="V346" s="35" t="str">
        <f t="shared" si="21"/>
        <v>10-16</v>
      </c>
      <c r="W346" s="35" t="str">
        <f t="shared" si="21"/>
        <v>17-23</v>
      </c>
      <c r="X346" s="35" t="str">
        <f t="shared" si="21"/>
        <v>24-30</v>
      </c>
      <c r="Y346" s="35" t="str">
        <f t="shared" si="21"/>
        <v>1-7</v>
      </c>
      <c r="Z346" s="35" t="str">
        <f t="shared" si="21"/>
        <v>8-14</v>
      </c>
      <c r="AA346" s="35" t="str">
        <f t="shared" si="21"/>
        <v>15-21</v>
      </c>
      <c r="AB346" s="35" t="str">
        <f t="shared" si="21"/>
        <v>22-28</v>
      </c>
      <c r="AC346" s="35" t="str">
        <f t="shared" si="21"/>
        <v>29-31</v>
      </c>
    </row>
    <row r="347" spans="1:29" ht="18" x14ac:dyDescent="0.2">
      <c r="A347" s="34"/>
      <c r="B347" s="26" t="s">
        <v>4</v>
      </c>
      <c r="C347" s="22" t="s">
        <v>12</v>
      </c>
      <c r="D347" s="22" t="s">
        <v>12</v>
      </c>
      <c r="E347" s="22" t="s">
        <v>12</v>
      </c>
      <c r="F347" s="22" t="s">
        <v>12</v>
      </c>
      <c r="G347" s="22" t="s">
        <v>12</v>
      </c>
      <c r="H347" s="22" t="s">
        <v>12</v>
      </c>
      <c r="I347" s="22" t="s">
        <v>12</v>
      </c>
      <c r="J347" s="22" t="s">
        <v>12</v>
      </c>
      <c r="K347" s="22" t="s">
        <v>12</v>
      </c>
      <c r="L347" s="22" t="s">
        <v>12</v>
      </c>
      <c r="M347" s="22" t="s">
        <v>12</v>
      </c>
      <c r="N347" s="22" t="s">
        <v>12</v>
      </c>
      <c r="O347" s="22" t="s">
        <v>12</v>
      </c>
      <c r="P347" s="22" t="s">
        <v>12</v>
      </c>
      <c r="Q347" s="22" t="s">
        <v>12</v>
      </c>
      <c r="R347" s="22" t="s">
        <v>12</v>
      </c>
      <c r="S347" s="22" t="s">
        <v>12</v>
      </c>
      <c r="T347" s="22" t="s">
        <v>12</v>
      </c>
      <c r="U347" s="22" t="s">
        <v>12</v>
      </c>
      <c r="V347" s="22" t="s">
        <v>12</v>
      </c>
      <c r="W347" s="22" t="s">
        <v>12</v>
      </c>
      <c r="X347" s="22" t="s">
        <v>12</v>
      </c>
      <c r="Y347" s="22" t="s">
        <v>12</v>
      </c>
      <c r="Z347" s="22" t="s">
        <v>12</v>
      </c>
      <c r="AA347" s="22" t="s">
        <v>12</v>
      </c>
      <c r="AB347" s="22" t="s">
        <v>12</v>
      </c>
      <c r="AC347" s="22" t="s">
        <v>12</v>
      </c>
    </row>
    <row r="348" spans="1:29" ht="18.75" customHeight="1" x14ac:dyDescent="0.2">
      <c r="A348" s="92" t="s">
        <v>290</v>
      </c>
      <c r="B348" s="27" t="s">
        <v>5</v>
      </c>
      <c r="C348" s="28" t="str">
        <f>IF(C288="","",C288)</f>
        <v/>
      </c>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t="s">
        <v>60</v>
      </c>
    </row>
    <row r="349" spans="1:29" ht="18" x14ac:dyDescent="0.2">
      <c r="A349" s="70"/>
      <c r="B349" s="27" t="s">
        <v>6</v>
      </c>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1:29" ht="18" x14ac:dyDescent="0.2">
      <c r="A350" s="70"/>
      <c r="B350" s="27" t="s">
        <v>3</v>
      </c>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1:29" ht="18.75" customHeight="1" x14ac:dyDescent="0.2">
      <c r="A351" s="92" t="s">
        <v>291</v>
      </c>
      <c r="B351" s="27" t="s">
        <v>5</v>
      </c>
      <c r="C351" s="28"/>
      <c r="D351" s="28"/>
      <c r="E351" s="28"/>
      <c r="F351" s="35"/>
      <c r="G351" s="28"/>
      <c r="H351" s="28" t="s">
        <v>60</v>
      </c>
      <c r="I351" s="28"/>
      <c r="J351" s="28"/>
      <c r="K351" s="28"/>
      <c r="L351" s="28"/>
      <c r="M351" s="28"/>
      <c r="N351" s="28"/>
      <c r="O351" s="28"/>
      <c r="P351" s="28"/>
      <c r="Q351" s="28"/>
      <c r="R351" s="28"/>
      <c r="S351" s="28"/>
      <c r="T351" s="28"/>
      <c r="U351" s="28"/>
      <c r="V351" s="28"/>
      <c r="W351" s="28"/>
      <c r="X351" s="28"/>
      <c r="Y351" s="28"/>
      <c r="Z351" s="28"/>
      <c r="AA351" s="28"/>
      <c r="AB351" s="28"/>
      <c r="AC351" s="28"/>
    </row>
    <row r="352" spans="1:29" ht="18" x14ac:dyDescent="0.2">
      <c r="A352" s="70"/>
      <c r="B352" s="27" t="s">
        <v>6</v>
      </c>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29" ht="18" x14ac:dyDescent="0.2">
      <c r="A353" s="70"/>
      <c r="B353" s="27" t="s">
        <v>3</v>
      </c>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29" ht="18" x14ac:dyDescent="0.2">
      <c r="A354" s="70"/>
      <c r="B354" s="27" t="s">
        <v>5</v>
      </c>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row>
    <row r="355" spans="1:29" ht="18" x14ac:dyDescent="0.2">
      <c r="A355" s="70"/>
      <c r="B355" s="27" t="s">
        <v>6</v>
      </c>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29" ht="18" x14ac:dyDescent="0.2">
      <c r="A356" s="70"/>
      <c r="B356" s="27" t="s">
        <v>3</v>
      </c>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29" ht="18" x14ac:dyDescent="0.4">
      <c r="A357" s="4" t="s">
        <v>219</v>
      </c>
      <c r="B357" s="4"/>
      <c r="C357" s="4"/>
      <c r="D357" s="4"/>
      <c r="E357" s="4"/>
      <c r="F357" s="4"/>
      <c r="G357" s="4"/>
      <c r="H357" s="4"/>
      <c r="I357" s="4"/>
      <c r="J357" s="4"/>
      <c r="K357" s="4"/>
      <c r="L357" s="4"/>
      <c r="M357" s="4"/>
      <c r="N357" s="4"/>
      <c r="O357" s="4"/>
      <c r="P357" s="4"/>
      <c r="Q357" s="4"/>
      <c r="R357" s="4"/>
      <c r="S357" s="4"/>
      <c r="T357" s="4"/>
      <c r="U357" s="4"/>
      <c r="V357" s="4"/>
      <c r="W357" s="71" t="s">
        <v>173</v>
      </c>
      <c r="X357" s="71"/>
      <c r="Y357" s="71"/>
      <c r="Z357" s="71"/>
      <c r="AA357" s="71"/>
      <c r="AB357" s="71"/>
      <c r="AC357" s="71"/>
    </row>
    <row r="358" spans="1:29" ht="18" x14ac:dyDescent="0.4">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spans="1:29" ht="18" x14ac:dyDescent="0.4">
      <c r="A359" s="9"/>
      <c r="B359" s="9"/>
      <c r="C359" s="9"/>
      <c r="D359" s="9"/>
      <c r="E359" s="9"/>
      <c r="F359" s="9"/>
      <c r="G359" s="9"/>
      <c r="H359" s="9"/>
      <c r="I359" s="9"/>
      <c r="J359" s="9"/>
      <c r="K359" s="9"/>
      <c r="L359" s="9"/>
      <c r="M359" s="9"/>
      <c r="N359" s="9"/>
      <c r="O359" s="9"/>
      <c r="P359" s="72" t="s">
        <v>28</v>
      </c>
      <c r="Q359" s="72"/>
      <c r="R359" s="73" t="str">
        <f>R239</f>
        <v>พีรวัส</v>
      </c>
      <c r="S359" s="73"/>
      <c r="T359" s="73"/>
      <c r="U359" s="72" t="s">
        <v>30</v>
      </c>
      <c r="V359" s="72"/>
      <c r="W359" s="73" t="str">
        <f>W239</f>
        <v>วรพงศ์</v>
      </c>
      <c r="X359" s="73"/>
      <c r="Y359" s="73"/>
      <c r="Z359" s="8" t="s">
        <v>29</v>
      </c>
      <c r="AA359" s="74">
        <f>AA239</f>
        <v>46021</v>
      </c>
      <c r="AB359" s="74"/>
      <c r="AC359" s="74"/>
    </row>
    <row r="360" spans="1:29" ht="18" x14ac:dyDescent="0.4">
      <c r="A360" s="4"/>
      <c r="B360" s="4"/>
      <c r="C360" s="4"/>
      <c r="D360" s="4"/>
      <c r="E360" s="4"/>
      <c r="F360" s="4"/>
      <c r="G360" s="4"/>
      <c r="H360" s="4"/>
      <c r="I360" s="4"/>
      <c r="J360" s="4"/>
      <c r="K360" s="4"/>
      <c r="L360" s="4"/>
      <c r="M360" s="4"/>
      <c r="N360" s="4"/>
      <c r="O360" s="4"/>
      <c r="P360" s="12"/>
      <c r="Q360" s="12"/>
      <c r="R360" s="10"/>
      <c r="S360" s="10"/>
      <c r="T360" s="10"/>
      <c r="U360" s="12"/>
      <c r="V360" s="12"/>
      <c r="W360" s="10"/>
      <c r="X360" s="10"/>
      <c r="Y360" s="10"/>
      <c r="Z360" s="12"/>
      <c r="AA360" s="13"/>
      <c r="AB360" s="13"/>
      <c r="AC360" s="13"/>
    </row>
    <row r="361" spans="1:29" ht="23.25" x14ac:dyDescent="0.5">
      <c r="A361" s="80" t="s">
        <v>26</v>
      </c>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80"/>
    </row>
    <row r="362" spans="1:29" ht="21" x14ac:dyDescent="0.45">
      <c r="A362" s="6" t="s">
        <v>22</v>
      </c>
      <c r="B362" s="81" t="s">
        <v>74</v>
      </c>
      <c r="C362" s="81"/>
      <c r="D362" s="81"/>
      <c r="E362" s="81"/>
      <c r="F362" s="81"/>
      <c r="G362" s="81"/>
      <c r="H362" s="6" t="s">
        <v>24</v>
      </c>
      <c r="I362" s="82" t="s">
        <v>75</v>
      </c>
      <c r="J362" s="82"/>
      <c r="K362" s="82"/>
      <c r="L362" s="82"/>
      <c r="M362" s="83" t="s">
        <v>25</v>
      </c>
      <c r="N362" s="83"/>
      <c r="O362" s="81" t="s">
        <v>76</v>
      </c>
      <c r="P362" s="81"/>
      <c r="Q362" s="81"/>
      <c r="R362" s="81"/>
      <c r="S362" s="81"/>
      <c r="T362" s="6" t="s">
        <v>20</v>
      </c>
      <c r="U362" s="81">
        <f>$U$2</f>
        <v>2569</v>
      </c>
      <c r="V362" s="81"/>
      <c r="W362" s="83" t="s">
        <v>35</v>
      </c>
      <c r="X362" s="83"/>
      <c r="Y362" s="83"/>
      <c r="Z362" s="1" t="s">
        <v>77</v>
      </c>
      <c r="AA362" s="1"/>
      <c r="AB362" s="1"/>
      <c r="AC362" s="1"/>
    </row>
    <row r="363" spans="1:29" ht="18" x14ac:dyDescent="0.2">
      <c r="A363" s="20" t="s">
        <v>0</v>
      </c>
      <c r="B363" s="21" t="s">
        <v>2</v>
      </c>
      <c r="C363" s="75" t="s">
        <v>32</v>
      </c>
      <c r="D363" s="75"/>
      <c r="E363" s="75"/>
      <c r="F363" s="75"/>
      <c r="G363" s="75"/>
      <c r="H363" s="75" t="s">
        <v>7</v>
      </c>
      <c r="I363" s="75"/>
      <c r="J363" s="75"/>
      <c r="K363" s="75"/>
      <c r="L363" s="77" t="s">
        <v>8</v>
      </c>
      <c r="M363" s="78"/>
      <c r="N363" s="78"/>
      <c r="O363" s="79"/>
      <c r="P363" s="77" t="s">
        <v>9</v>
      </c>
      <c r="Q363" s="78"/>
      <c r="R363" s="78"/>
      <c r="S363" s="78"/>
      <c r="T363" s="79"/>
      <c r="U363" s="75" t="s">
        <v>10</v>
      </c>
      <c r="V363" s="75"/>
      <c r="W363" s="75"/>
      <c r="X363" s="75"/>
      <c r="Y363" s="75"/>
      <c r="Z363" s="75" t="s">
        <v>11</v>
      </c>
      <c r="AA363" s="75"/>
      <c r="AB363" s="75"/>
      <c r="AC363" s="75"/>
    </row>
    <row r="364" spans="1:29" ht="18" x14ac:dyDescent="0.2">
      <c r="A364" s="23" t="s">
        <v>1</v>
      </c>
      <c r="B364" s="24" t="s">
        <v>3</v>
      </c>
      <c r="C364" s="28" t="str">
        <f t="shared" ref="C364:AC364" si="22">C334</f>
        <v>1-5</v>
      </c>
      <c r="D364" s="28" t="str">
        <f t="shared" si="22"/>
        <v>6-12</v>
      </c>
      <c r="E364" s="28" t="str">
        <f t="shared" si="22"/>
        <v>13-19</v>
      </c>
      <c r="F364" s="28" t="str">
        <f t="shared" si="22"/>
        <v>20-26</v>
      </c>
      <c r="G364" s="28" t="str">
        <f t="shared" si="22"/>
        <v>27-31</v>
      </c>
      <c r="H364" s="28" t="str">
        <f t="shared" si="22"/>
        <v>1-9</v>
      </c>
      <c r="I364" s="28" t="str">
        <f t="shared" si="22"/>
        <v>10-16</v>
      </c>
      <c r="J364" s="28" t="str">
        <f t="shared" si="22"/>
        <v>17-23</v>
      </c>
      <c r="K364" s="28" t="str">
        <f t="shared" si="22"/>
        <v>24-28</v>
      </c>
      <c r="L364" s="28" t="str">
        <f t="shared" si="22"/>
        <v>1-9</v>
      </c>
      <c r="M364" s="28" t="str">
        <f t="shared" si="22"/>
        <v>10-16</v>
      </c>
      <c r="N364" s="28" t="str">
        <f t="shared" si="22"/>
        <v>17-23</v>
      </c>
      <c r="O364" s="28" t="str">
        <f t="shared" si="22"/>
        <v>24-31</v>
      </c>
      <c r="P364" s="28" t="str">
        <f t="shared" si="22"/>
        <v>1-6</v>
      </c>
      <c r="Q364" s="28" t="str">
        <f t="shared" si="22"/>
        <v>7-13</v>
      </c>
      <c r="R364" s="28" t="str">
        <f t="shared" si="22"/>
        <v>14-20</v>
      </c>
      <c r="S364" s="28" t="str">
        <f t="shared" si="22"/>
        <v>21-27</v>
      </c>
      <c r="T364" s="28" t="str">
        <f t="shared" si="22"/>
        <v>28-30</v>
      </c>
      <c r="U364" s="28" t="str">
        <f t="shared" si="22"/>
        <v>1-4</v>
      </c>
      <c r="V364" s="28" t="str">
        <f t="shared" si="22"/>
        <v>5-11</v>
      </c>
      <c r="W364" s="28" t="str">
        <f t="shared" si="22"/>
        <v>12-18</v>
      </c>
      <c r="X364" s="28" t="str">
        <f t="shared" si="22"/>
        <v>19-25</v>
      </c>
      <c r="Y364" s="28" t="str">
        <f t="shared" si="22"/>
        <v>26-31</v>
      </c>
      <c r="Z364" s="28" t="str">
        <f t="shared" si="22"/>
        <v>1-8</v>
      </c>
      <c r="AA364" s="28" t="str">
        <f t="shared" si="22"/>
        <v>9-15</v>
      </c>
      <c r="AB364" s="28" t="str">
        <f t="shared" si="22"/>
        <v>16-22</v>
      </c>
      <c r="AC364" s="28" t="str">
        <f t="shared" si="22"/>
        <v>23-30</v>
      </c>
    </row>
    <row r="365" spans="1:29" ht="18" x14ac:dyDescent="0.2">
      <c r="A365" s="25"/>
      <c r="B365" s="26" t="s">
        <v>4</v>
      </c>
      <c r="C365" s="22" t="s">
        <v>12</v>
      </c>
      <c r="D365" s="22" t="s">
        <v>12</v>
      </c>
      <c r="E365" s="22" t="s">
        <v>12</v>
      </c>
      <c r="F365" s="22" t="s">
        <v>12</v>
      </c>
      <c r="G365" s="22" t="s">
        <v>12</v>
      </c>
      <c r="H365" s="22" t="s">
        <v>12</v>
      </c>
      <c r="I365" s="22" t="s">
        <v>12</v>
      </c>
      <c r="J365" s="22" t="s">
        <v>12</v>
      </c>
      <c r="K365" s="22" t="s">
        <v>12</v>
      </c>
      <c r="L365" s="22" t="s">
        <v>12</v>
      </c>
      <c r="M365" s="22" t="s">
        <v>12</v>
      </c>
      <c r="N365" s="22" t="s">
        <v>12</v>
      </c>
      <c r="O365" s="22" t="s">
        <v>12</v>
      </c>
      <c r="P365" s="22" t="s">
        <v>12</v>
      </c>
      <c r="Q365" s="22" t="s">
        <v>12</v>
      </c>
      <c r="R365" s="22" t="s">
        <v>12</v>
      </c>
      <c r="S365" s="22" t="s">
        <v>12</v>
      </c>
      <c r="T365" s="22" t="s">
        <v>12</v>
      </c>
      <c r="U365" s="22" t="s">
        <v>12</v>
      </c>
      <c r="V365" s="22" t="s">
        <v>12</v>
      </c>
      <c r="W365" s="22" t="s">
        <v>12</v>
      </c>
      <c r="X365" s="22" t="s">
        <v>12</v>
      </c>
      <c r="Y365" s="22" t="s">
        <v>12</v>
      </c>
      <c r="Z365" s="22" t="s">
        <v>12</v>
      </c>
      <c r="AA365" s="22" t="s">
        <v>12</v>
      </c>
      <c r="AB365" s="22" t="s">
        <v>12</v>
      </c>
      <c r="AC365" s="22" t="s">
        <v>12</v>
      </c>
    </row>
    <row r="366" spans="1:29" ht="18.75" customHeight="1" x14ac:dyDescent="0.2">
      <c r="A366" s="70" t="s">
        <v>78</v>
      </c>
      <c r="B366" s="27" t="s">
        <v>5</v>
      </c>
      <c r="C366" s="28" t="s">
        <v>60</v>
      </c>
      <c r="D366" s="28" t="s">
        <v>60</v>
      </c>
      <c r="E366" s="28" t="s">
        <v>60</v>
      </c>
      <c r="F366" s="28" t="s">
        <v>60</v>
      </c>
      <c r="G366" s="28" t="s">
        <v>60</v>
      </c>
      <c r="H366" s="28" t="s">
        <v>60</v>
      </c>
      <c r="I366" s="28" t="s">
        <v>60</v>
      </c>
      <c r="J366" s="28" t="s">
        <v>60</v>
      </c>
      <c r="K366" s="28" t="s">
        <v>60</v>
      </c>
      <c r="L366" s="28" t="s">
        <v>60</v>
      </c>
      <c r="M366" s="28" t="s">
        <v>60</v>
      </c>
      <c r="N366" s="28" t="s">
        <v>60</v>
      </c>
      <c r="O366" s="28" t="s">
        <v>60</v>
      </c>
      <c r="P366" s="28" t="s">
        <v>60</v>
      </c>
      <c r="Q366" s="28" t="s">
        <v>60</v>
      </c>
      <c r="R366" s="28" t="s">
        <v>60</v>
      </c>
      <c r="S366" s="28" t="s">
        <v>60</v>
      </c>
      <c r="T366" s="28" t="s">
        <v>60</v>
      </c>
      <c r="U366" s="28" t="s">
        <v>60</v>
      </c>
      <c r="V366" s="28" t="s">
        <v>60</v>
      </c>
      <c r="W366" s="28" t="s">
        <v>60</v>
      </c>
      <c r="X366" s="28" t="s">
        <v>60</v>
      </c>
      <c r="Y366" s="28" t="s">
        <v>60</v>
      </c>
      <c r="Z366" s="28" t="s">
        <v>60</v>
      </c>
      <c r="AA366" s="28" t="s">
        <v>60</v>
      </c>
      <c r="AB366" s="28" t="s">
        <v>60</v>
      </c>
      <c r="AC366" s="28" t="s">
        <v>60</v>
      </c>
    </row>
    <row r="367" spans="1:29" ht="18" x14ac:dyDescent="0.2">
      <c r="A367" s="70"/>
      <c r="B367" s="27" t="s">
        <v>6</v>
      </c>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row>
    <row r="368" spans="1:29" ht="18" x14ac:dyDescent="0.2">
      <c r="A368" s="70"/>
      <c r="B368" s="27" t="s">
        <v>3</v>
      </c>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row>
    <row r="369" spans="1:29" ht="18.75" customHeight="1" x14ac:dyDescent="0.2">
      <c r="A369" s="70" t="s">
        <v>79</v>
      </c>
      <c r="B369" s="27" t="s">
        <v>5</v>
      </c>
      <c r="C369" s="35"/>
      <c r="D369" s="28"/>
      <c r="E369" s="35"/>
      <c r="F369" s="35"/>
      <c r="G369" s="28" t="s">
        <v>60</v>
      </c>
      <c r="H369" s="28"/>
      <c r="I369" s="28"/>
      <c r="J369" s="28"/>
      <c r="K369" s="28" t="s">
        <v>60</v>
      </c>
      <c r="L369" s="28"/>
      <c r="M369" s="28"/>
      <c r="N369" s="28"/>
      <c r="O369" s="28" t="s">
        <v>60</v>
      </c>
      <c r="P369" s="28"/>
      <c r="Q369" s="28"/>
      <c r="R369" s="28"/>
      <c r="S369" s="28"/>
      <c r="T369" s="28" t="s">
        <v>60</v>
      </c>
      <c r="U369" s="28"/>
      <c r="V369" s="28"/>
      <c r="W369" s="28"/>
      <c r="X369" s="28"/>
      <c r="Y369" s="28" t="s">
        <v>60</v>
      </c>
      <c r="Z369" s="28"/>
      <c r="AA369" s="28"/>
      <c r="AB369" s="22"/>
      <c r="AC369" s="28" t="s">
        <v>60</v>
      </c>
    </row>
    <row r="370" spans="1:29" ht="18" x14ac:dyDescent="0.2">
      <c r="A370" s="70"/>
      <c r="B370" s="27" t="s">
        <v>6</v>
      </c>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row>
    <row r="371" spans="1:29" ht="18" x14ac:dyDescent="0.2">
      <c r="A371" s="70"/>
      <c r="B371" s="27" t="s">
        <v>3</v>
      </c>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row>
    <row r="372" spans="1:29" ht="18" x14ac:dyDescent="0.2">
      <c r="A372" s="70"/>
      <c r="B372" s="27" t="s">
        <v>5</v>
      </c>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2"/>
      <c r="AC372" s="28"/>
    </row>
    <row r="373" spans="1:29" ht="18" x14ac:dyDescent="0.2">
      <c r="A373" s="70"/>
      <c r="B373" s="27" t="s">
        <v>6</v>
      </c>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row>
    <row r="374" spans="1:29" ht="18" x14ac:dyDescent="0.2">
      <c r="A374" s="70"/>
      <c r="B374" s="27" t="s">
        <v>3</v>
      </c>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row>
    <row r="375" spans="1:29" ht="18" x14ac:dyDescent="0.2">
      <c r="A375" s="20" t="s">
        <v>0</v>
      </c>
      <c r="B375" s="21" t="s">
        <v>2</v>
      </c>
      <c r="C375" s="76" t="s">
        <v>13</v>
      </c>
      <c r="D375" s="76"/>
      <c r="E375" s="76"/>
      <c r="F375" s="76"/>
      <c r="G375" s="76"/>
      <c r="H375" s="76" t="s">
        <v>14</v>
      </c>
      <c r="I375" s="76"/>
      <c r="J375" s="76"/>
      <c r="K375" s="76"/>
      <c r="L375" s="76" t="s">
        <v>15</v>
      </c>
      <c r="M375" s="76"/>
      <c r="N375" s="76"/>
      <c r="O375" s="76"/>
      <c r="P375" s="76" t="s">
        <v>16</v>
      </c>
      <c r="Q375" s="76"/>
      <c r="R375" s="76"/>
      <c r="S375" s="76"/>
      <c r="T375" s="76"/>
      <c r="U375" s="76" t="s">
        <v>17</v>
      </c>
      <c r="V375" s="76"/>
      <c r="W375" s="76"/>
      <c r="X375" s="76"/>
      <c r="Y375" s="76" t="s">
        <v>18</v>
      </c>
      <c r="Z375" s="76"/>
      <c r="AA375" s="76"/>
      <c r="AB375" s="76"/>
      <c r="AC375" s="76"/>
    </row>
    <row r="376" spans="1:29" ht="18" x14ac:dyDescent="0.2">
      <c r="A376" s="20" t="s">
        <v>1</v>
      </c>
      <c r="B376" s="24" t="s">
        <v>3</v>
      </c>
      <c r="C376" s="35" t="str">
        <f t="shared" ref="C376:AC376" si="23">C286</f>
        <v>1-6</v>
      </c>
      <c r="D376" s="35" t="str">
        <f t="shared" si="23"/>
        <v>7-13</v>
      </c>
      <c r="E376" s="35" t="str">
        <f t="shared" si="23"/>
        <v>14-20</v>
      </c>
      <c r="F376" s="35" t="str">
        <f t="shared" si="23"/>
        <v>21-27</v>
      </c>
      <c r="G376" s="35" t="str">
        <f t="shared" si="23"/>
        <v>28-31</v>
      </c>
      <c r="H376" s="35" t="str">
        <f t="shared" si="23"/>
        <v>1-10</v>
      </c>
      <c r="I376" s="35" t="str">
        <f t="shared" si="23"/>
        <v>11-17</v>
      </c>
      <c r="J376" s="35" t="str">
        <f t="shared" si="23"/>
        <v>18-24</v>
      </c>
      <c r="K376" s="35" t="str">
        <f t="shared" si="23"/>
        <v>25-31</v>
      </c>
      <c r="L376" s="35" t="str">
        <f t="shared" si="23"/>
        <v>1-7</v>
      </c>
      <c r="M376" s="35" t="str">
        <f t="shared" si="23"/>
        <v>8-14</v>
      </c>
      <c r="N376" s="35" t="str">
        <f t="shared" si="23"/>
        <v>15-21</v>
      </c>
      <c r="O376" s="35" t="str">
        <f t="shared" si="23"/>
        <v>22-30</v>
      </c>
      <c r="P376" s="35" t="str">
        <f t="shared" si="23"/>
        <v>1-5</v>
      </c>
      <c r="Q376" s="35" t="str">
        <f t="shared" si="23"/>
        <v>6-12</v>
      </c>
      <c r="R376" s="35" t="str">
        <f t="shared" si="23"/>
        <v>13-19</v>
      </c>
      <c r="S376" s="35" t="str">
        <f t="shared" si="23"/>
        <v>20-26</v>
      </c>
      <c r="T376" s="35" t="str">
        <f t="shared" si="23"/>
        <v>27-31</v>
      </c>
      <c r="U376" s="35" t="str">
        <f t="shared" si="23"/>
        <v>1-9</v>
      </c>
      <c r="V376" s="35" t="str">
        <f t="shared" si="23"/>
        <v>10-16</v>
      </c>
      <c r="W376" s="35" t="str">
        <f t="shared" si="23"/>
        <v>17-23</v>
      </c>
      <c r="X376" s="35" t="str">
        <f t="shared" si="23"/>
        <v>24-30</v>
      </c>
      <c r="Y376" s="35" t="str">
        <f t="shared" si="23"/>
        <v>1-7</v>
      </c>
      <c r="Z376" s="35" t="str">
        <f t="shared" si="23"/>
        <v>8-14</v>
      </c>
      <c r="AA376" s="35" t="str">
        <f t="shared" si="23"/>
        <v>15-21</v>
      </c>
      <c r="AB376" s="35" t="str">
        <f t="shared" si="23"/>
        <v>22-28</v>
      </c>
      <c r="AC376" s="35" t="str">
        <f t="shared" si="23"/>
        <v>29-31</v>
      </c>
    </row>
    <row r="377" spans="1:29" ht="18" x14ac:dyDescent="0.2">
      <c r="A377" s="34"/>
      <c r="B377" s="26" t="s">
        <v>4</v>
      </c>
      <c r="C377" s="22" t="s">
        <v>12</v>
      </c>
      <c r="D377" s="22" t="s">
        <v>12</v>
      </c>
      <c r="E377" s="22" t="s">
        <v>12</v>
      </c>
      <c r="F377" s="22" t="s">
        <v>12</v>
      </c>
      <c r="G377" s="22" t="s">
        <v>12</v>
      </c>
      <c r="H377" s="22" t="s">
        <v>12</v>
      </c>
      <c r="I377" s="22" t="s">
        <v>12</v>
      </c>
      <c r="J377" s="22" t="s">
        <v>12</v>
      </c>
      <c r="K377" s="22" t="s">
        <v>12</v>
      </c>
      <c r="L377" s="22" t="s">
        <v>12</v>
      </c>
      <c r="M377" s="22" t="s">
        <v>12</v>
      </c>
      <c r="N377" s="22" t="s">
        <v>12</v>
      </c>
      <c r="O377" s="22" t="s">
        <v>12</v>
      </c>
      <c r="P377" s="22" t="s">
        <v>12</v>
      </c>
      <c r="Q377" s="22" t="s">
        <v>12</v>
      </c>
      <c r="R377" s="22" t="s">
        <v>12</v>
      </c>
      <c r="S377" s="22" t="s">
        <v>12</v>
      </c>
      <c r="T377" s="22" t="s">
        <v>12</v>
      </c>
      <c r="U377" s="22" t="s">
        <v>12</v>
      </c>
      <c r="V377" s="22" t="s">
        <v>12</v>
      </c>
      <c r="W377" s="22" t="s">
        <v>12</v>
      </c>
      <c r="X377" s="22" t="s">
        <v>12</v>
      </c>
      <c r="Y377" s="22" t="s">
        <v>12</v>
      </c>
      <c r="Z377" s="22" t="s">
        <v>12</v>
      </c>
      <c r="AA377" s="22" t="s">
        <v>12</v>
      </c>
      <c r="AB377" s="22" t="s">
        <v>12</v>
      </c>
      <c r="AC377" s="22" t="s">
        <v>12</v>
      </c>
    </row>
    <row r="378" spans="1:29" ht="18.75" customHeight="1" x14ac:dyDescent="0.2">
      <c r="A378" s="70" t="s">
        <v>78</v>
      </c>
      <c r="B378" s="27" t="s">
        <v>5</v>
      </c>
      <c r="C378" s="28" t="s">
        <v>60</v>
      </c>
      <c r="D378" s="28" t="s">
        <v>60</v>
      </c>
      <c r="E378" s="28" t="s">
        <v>60</v>
      </c>
      <c r="F378" s="28" t="s">
        <v>60</v>
      </c>
      <c r="G378" s="28" t="s">
        <v>60</v>
      </c>
      <c r="H378" s="28" t="s">
        <v>60</v>
      </c>
      <c r="I378" s="28" t="s">
        <v>60</v>
      </c>
      <c r="J378" s="28" t="s">
        <v>60</v>
      </c>
      <c r="K378" s="28" t="s">
        <v>60</v>
      </c>
      <c r="L378" s="28" t="s">
        <v>60</v>
      </c>
      <c r="M378" s="28" t="s">
        <v>60</v>
      </c>
      <c r="N378" s="28" t="s">
        <v>60</v>
      </c>
      <c r="O378" s="28" t="s">
        <v>60</v>
      </c>
      <c r="P378" s="28" t="s">
        <v>60</v>
      </c>
      <c r="Q378" s="28" t="s">
        <v>60</v>
      </c>
      <c r="R378" s="28" t="s">
        <v>60</v>
      </c>
      <c r="S378" s="28" t="s">
        <v>60</v>
      </c>
      <c r="T378" s="28" t="s">
        <v>60</v>
      </c>
      <c r="U378" s="28" t="s">
        <v>60</v>
      </c>
      <c r="V378" s="28" t="s">
        <v>60</v>
      </c>
      <c r="W378" s="28" t="s">
        <v>60</v>
      </c>
      <c r="X378" s="28" t="s">
        <v>60</v>
      </c>
      <c r="Y378" s="28" t="s">
        <v>60</v>
      </c>
      <c r="Z378" s="28" t="s">
        <v>60</v>
      </c>
      <c r="AA378" s="28" t="s">
        <v>60</v>
      </c>
      <c r="AB378" s="28" t="s">
        <v>60</v>
      </c>
      <c r="AC378" s="28" t="s">
        <v>60</v>
      </c>
    </row>
    <row r="379" spans="1:29" ht="18" x14ac:dyDescent="0.2">
      <c r="A379" s="70"/>
      <c r="B379" s="27" t="s">
        <v>6</v>
      </c>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row>
    <row r="380" spans="1:29" ht="18" x14ac:dyDescent="0.2">
      <c r="A380" s="70"/>
      <c r="B380" s="27" t="s">
        <v>3</v>
      </c>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row>
    <row r="381" spans="1:29" ht="18.75" customHeight="1" x14ac:dyDescent="0.2">
      <c r="A381" s="70" t="s">
        <v>79</v>
      </c>
      <c r="B381" s="27" t="s">
        <v>5</v>
      </c>
      <c r="C381" s="29"/>
      <c r="D381" s="28"/>
      <c r="E381" s="28"/>
      <c r="F381" s="35"/>
      <c r="G381" s="28" t="s">
        <v>60</v>
      </c>
      <c r="H381" s="28"/>
      <c r="I381" s="28"/>
      <c r="J381" s="28"/>
      <c r="K381" s="28" t="s">
        <v>60</v>
      </c>
      <c r="L381" s="28"/>
      <c r="M381" s="28"/>
      <c r="N381" s="28"/>
      <c r="O381" s="28" t="s">
        <v>60</v>
      </c>
      <c r="P381" s="28"/>
      <c r="Q381" s="28"/>
      <c r="R381" s="28"/>
      <c r="S381" s="28"/>
      <c r="T381" s="28" t="s">
        <v>60</v>
      </c>
      <c r="U381" s="28"/>
      <c r="V381" s="28"/>
      <c r="W381" s="28"/>
      <c r="X381" s="28" t="s">
        <v>60</v>
      </c>
      <c r="Y381" s="28"/>
      <c r="Z381" s="28"/>
      <c r="AA381" s="28"/>
      <c r="AB381" s="22"/>
      <c r="AC381" s="28" t="s">
        <v>60</v>
      </c>
    </row>
    <row r="382" spans="1:29" ht="18" x14ac:dyDescent="0.2">
      <c r="A382" s="70"/>
      <c r="B382" s="27" t="s">
        <v>6</v>
      </c>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row>
    <row r="383" spans="1:29" ht="18" x14ac:dyDescent="0.2">
      <c r="A383" s="70"/>
      <c r="B383" s="27" t="s">
        <v>3</v>
      </c>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row>
    <row r="384" spans="1:29" ht="18" x14ac:dyDescent="0.2">
      <c r="A384" s="70"/>
      <c r="B384" s="27" t="s">
        <v>5</v>
      </c>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2"/>
      <c r="AC384" s="28"/>
    </row>
    <row r="385" spans="1:29" ht="18" x14ac:dyDescent="0.2">
      <c r="A385" s="70"/>
      <c r="B385" s="27" t="s">
        <v>6</v>
      </c>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row>
    <row r="386" spans="1:29" ht="18" x14ac:dyDescent="0.2">
      <c r="A386" s="70"/>
      <c r="B386" s="27" t="s">
        <v>3</v>
      </c>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row>
    <row r="387" spans="1:29" ht="18" x14ac:dyDescent="0.4">
      <c r="A387" s="4" t="s">
        <v>219</v>
      </c>
      <c r="B387" s="4"/>
      <c r="C387" s="4"/>
      <c r="D387" s="4"/>
      <c r="E387" s="4"/>
      <c r="F387" s="4"/>
      <c r="G387" s="4"/>
      <c r="H387" s="4"/>
      <c r="I387" s="4"/>
      <c r="J387" s="4"/>
      <c r="K387" s="4"/>
      <c r="L387" s="4"/>
      <c r="M387" s="4"/>
      <c r="N387" s="4"/>
      <c r="O387" s="4"/>
      <c r="P387" s="4"/>
      <c r="Q387" s="4"/>
      <c r="R387" s="4"/>
      <c r="S387" s="4"/>
      <c r="T387" s="4"/>
      <c r="U387" s="4"/>
      <c r="V387" s="4"/>
      <c r="W387" s="71" t="s">
        <v>173</v>
      </c>
      <c r="X387" s="71"/>
      <c r="Y387" s="71"/>
      <c r="Z387" s="71"/>
      <c r="AA387" s="71"/>
      <c r="AB387" s="71"/>
      <c r="AC387" s="71"/>
    </row>
    <row r="388" spans="1:29" ht="18" x14ac:dyDescent="0.4">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spans="1:29" ht="18" x14ac:dyDescent="0.4">
      <c r="A389" s="9"/>
      <c r="B389" s="9"/>
      <c r="C389" s="9"/>
      <c r="D389" s="9"/>
      <c r="E389" s="9"/>
      <c r="F389" s="9"/>
      <c r="G389" s="9"/>
      <c r="H389" s="9"/>
      <c r="I389" s="9"/>
      <c r="J389" s="9"/>
      <c r="K389" s="9"/>
      <c r="L389" s="9"/>
      <c r="M389" s="9"/>
      <c r="N389" s="9"/>
      <c r="O389" s="9"/>
      <c r="P389" s="72" t="s">
        <v>28</v>
      </c>
      <c r="Q389" s="72"/>
      <c r="R389" s="73" t="str">
        <f>R29</f>
        <v>พีรวัส</v>
      </c>
      <c r="S389" s="73"/>
      <c r="T389" s="73"/>
      <c r="U389" s="72" t="s">
        <v>30</v>
      </c>
      <c r="V389" s="72"/>
      <c r="W389" s="73" t="str">
        <f>W29</f>
        <v>วรพงศ์</v>
      </c>
      <c r="X389" s="73"/>
      <c r="Y389" s="73"/>
      <c r="Z389" s="8" t="s">
        <v>29</v>
      </c>
      <c r="AA389" s="74">
        <f>AA29</f>
        <v>46021</v>
      </c>
      <c r="AB389" s="74"/>
      <c r="AC389" s="74"/>
    </row>
    <row r="390" spans="1:29" ht="18" x14ac:dyDescent="0.4">
      <c r="A390" s="4"/>
      <c r="B390" s="4"/>
      <c r="C390" s="4"/>
      <c r="D390" s="4"/>
      <c r="E390" s="4"/>
      <c r="F390" s="4"/>
      <c r="G390" s="4"/>
      <c r="H390" s="4"/>
      <c r="I390" s="4"/>
      <c r="J390" s="4"/>
      <c r="K390" s="4"/>
      <c r="L390" s="4"/>
      <c r="M390" s="4"/>
      <c r="N390" s="4"/>
      <c r="O390" s="4"/>
      <c r="P390" s="12"/>
      <c r="Q390" s="12"/>
      <c r="R390" s="10"/>
      <c r="S390" s="10"/>
      <c r="T390" s="10"/>
      <c r="U390" s="12"/>
      <c r="V390" s="12"/>
      <c r="W390" s="10"/>
      <c r="X390" s="10"/>
      <c r="Y390" s="10"/>
      <c r="Z390" s="12"/>
      <c r="AA390" s="13"/>
      <c r="AB390" s="13"/>
      <c r="AC390" s="13"/>
    </row>
    <row r="391" spans="1:29" ht="23.25" x14ac:dyDescent="0.5">
      <c r="A391" s="80" t="s">
        <v>26</v>
      </c>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row>
    <row r="392" spans="1:29" ht="21" x14ac:dyDescent="0.45">
      <c r="A392" s="6" t="s">
        <v>22</v>
      </c>
      <c r="B392" s="81" t="s">
        <v>80</v>
      </c>
      <c r="C392" s="81"/>
      <c r="D392" s="81"/>
      <c r="E392" s="81"/>
      <c r="F392" s="81"/>
      <c r="G392" s="81"/>
      <c r="H392" s="6" t="s">
        <v>24</v>
      </c>
      <c r="I392" s="82" t="s">
        <v>81</v>
      </c>
      <c r="J392" s="82"/>
      <c r="K392" s="82"/>
      <c r="L392" s="82"/>
      <c r="M392" s="83" t="s">
        <v>25</v>
      </c>
      <c r="N392" s="83"/>
      <c r="O392" s="81" t="s">
        <v>76</v>
      </c>
      <c r="P392" s="81"/>
      <c r="Q392" s="81"/>
      <c r="R392" s="81"/>
      <c r="S392" s="81"/>
      <c r="T392" s="6" t="s">
        <v>20</v>
      </c>
      <c r="U392" s="81">
        <f>$U$2</f>
        <v>2569</v>
      </c>
      <c r="V392" s="81"/>
      <c r="W392" s="83" t="s">
        <v>35</v>
      </c>
      <c r="X392" s="83"/>
      <c r="Y392" s="83"/>
      <c r="Z392" s="1" t="s">
        <v>77</v>
      </c>
      <c r="AA392" s="1"/>
      <c r="AB392" s="1"/>
      <c r="AC392" s="1"/>
    </row>
    <row r="393" spans="1:29" ht="18" x14ac:dyDescent="0.2">
      <c r="A393" s="20" t="s">
        <v>0</v>
      </c>
      <c r="B393" s="21" t="s">
        <v>2</v>
      </c>
      <c r="C393" s="75" t="s">
        <v>32</v>
      </c>
      <c r="D393" s="75"/>
      <c r="E393" s="75"/>
      <c r="F393" s="75"/>
      <c r="G393" s="75"/>
      <c r="H393" s="75" t="s">
        <v>7</v>
      </c>
      <c r="I393" s="75"/>
      <c r="J393" s="75"/>
      <c r="K393" s="75"/>
      <c r="L393" s="77" t="s">
        <v>8</v>
      </c>
      <c r="M393" s="78"/>
      <c r="N393" s="78"/>
      <c r="O393" s="79"/>
      <c r="P393" s="77" t="s">
        <v>9</v>
      </c>
      <c r="Q393" s="78"/>
      <c r="R393" s="78"/>
      <c r="S393" s="78"/>
      <c r="T393" s="79"/>
      <c r="U393" s="75" t="s">
        <v>10</v>
      </c>
      <c r="V393" s="75"/>
      <c r="W393" s="75"/>
      <c r="X393" s="75"/>
      <c r="Y393" s="75"/>
      <c r="Z393" s="75" t="s">
        <v>11</v>
      </c>
      <c r="AA393" s="75"/>
      <c r="AB393" s="75"/>
      <c r="AC393" s="75"/>
    </row>
    <row r="394" spans="1:29" ht="18" x14ac:dyDescent="0.2">
      <c r="A394" s="23" t="s">
        <v>1</v>
      </c>
      <c r="B394" s="24" t="s">
        <v>3</v>
      </c>
      <c r="C394" s="28" t="str">
        <f t="shared" ref="C394:AC394" si="24">C364</f>
        <v>1-5</v>
      </c>
      <c r="D394" s="28" t="str">
        <f t="shared" si="24"/>
        <v>6-12</v>
      </c>
      <c r="E394" s="28" t="str">
        <f t="shared" si="24"/>
        <v>13-19</v>
      </c>
      <c r="F394" s="28" t="str">
        <f t="shared" si="24"/>
        <v>20-26</v>
      </c>
      <c r="G394" s="28" t="str">
        <f t="shared" si="24"/>
        <v>27-31</v>
      </c>
      <c r="H394" s="28" t="str">
        <f t="shared" si="24"/>
        <v>1-9</v>
      </c>
      <c r="I394" s="28" t="str">
        <f t="shared" si="24"/>
        <v>10-16</v>
      </c>
      <c r="J394" s="28" t="str">
        <f t="shared" si="24"/>
        <v>17-23</v>
      </c>
      <c r="K394" s="28" t="str">
        <f t="shared" si="24"/>
        <v>24-28</v>
      </c>
      <c r="L394" s="28" t="str">
        <f t="shared" si="24"/>
        <v>1-9</v>
      </c>
      <c r="M394" s="28" t="str">
        <f t="shared" si="24"/>
        <v>10-16</v>
      </c>
      <c r="N394" s="28" t="str">
        <f t="shared" si="24"/>
        <v>17-23</v>
      </c>
      <c r="O394" s="28" t="str">
        <f t="shared" si="24"/>
        <v>24-31</v>
      </c>
      <c r="P394" s="28" t="str">
        <f t="shared" si="24"/>
        <v>1-6</v>
      </c>
      <c r="Q394" s="28" t="str">
        <f t="shared" si="24"/>
        <v>7-13</v>
      </c>
      <c r="R394" s="28" t="str">
        <f t="shared" si="24"/>
        <v>14-20</v>
      </c>
      <c r="S394" s="28" t="str">
        <f t="shared" si="24"/>
        <v>21-27</v>
      </c>
      <c r="T394" s="28" t="str">
        <f t="shared" si="24"/>
        <v>28-30</v>
      </c>
      <c r="U394" s="28" t="str">
        <f t="shared" si="24"/>
        <v>1-4</v>
      </c>
      <c r="V394" s="28" t="str">
        <f t="shared" si="24"/>
        <v>5-11</v>
      </c>
      <c r="W394" s="28" t="str">
        <f t="shared" si="24"/>
        <v>12-18</v>
      </c>
      <c r="X394" s="28" t="str">
        <f t="shared" si="24"/>
        <v>19-25</v>
      </c>
      <c r="Y394" s="28" t="str">
        <f t="shared" si="24"/>
        <v>26-31</v>
      </c>
      <c r="Z394" s="28" t="str">
        <f t="shared" si="24"/>
        <v>1-8</v>
      </c>
      <c r="AA394" s="28" t="str">
        <f t="shared" si="24"/>
        <v>9-15</v>
      </c>
      <c r="AB394" s="28" t="str">
        <f t="shared" si="24"/>
        <v>16-22</v>
      </c>
      <c r="AC394" s="28" t="str">
        <f t="shared" si="24"/>
        <v>23-30</v>
      </c>
    </row>
    <row r="395" spans="1:29" ht="18" x14ac:dyDescent="0.2">
      <c r="A395" s="25"/>
      <c r="B395" s="26" t="s">
        <v>4</v>
      </c>
      <c r="C395" s="22" t="s">
        <v>12</v>
      </c>
      <c r="D395" s="22" t="s">
        <v>12</v>
      </c>
      <c r="E395" s="22" t="s">
        <v>12</v>
      </c>
      <c r="F395" s="22" t="s">
        <v>12</v>
      </c>
      <c r="G395" s="22" t="s">
        <v>12</v>
      </c>
      <c r="H395" s="22" t="s">
        <v>12</v>
      </c>
      <c r="I395" s="22" t="s">
        <v>12</v>
      </c>
      <c r="J395" s="22" t="s">
        <v>12</v>
      </c>
      <c r="K395" s="22" t="s">
        <v>12</v>
      </c>
      <c r="L395" s="22" t="s">
        <v>12</v>
      </c>
      <c r="M395" s="22" t="s">
        <v>12</v>
      </c>
      <c r="N395" s="22" t="s">
        <v>12</v>
      </c>
      <c r="O395" s="22" t="s">
        <v>12</v>
      </c>
      <c r="P395" s="22" t="s">
        <v>12</v>
      </c>
      <c r="Q395" s="22" t="s">
        <v>12</v>
      </c>
      <c r="R395" s="22" t="s">
        <v>12</v>
      </c>
      <c r="S395" s="22" t="s">
        <v>12</v>
      </c>
      <c r="T395" s="22" t="s">
        <v>12</v>
      </c>
      <c r="U395" s="22" t="s">
        <v>12</v>
      </c>
      <c r="V395" s="22" t="s">
        <v>12</v>
      </c>
      <c r="W395" s="22" t="s">
        <v>12</v>
      </c>
      <c r="X395" s="22" t="s">
        <v>12</v>
      </c>
      <c r="Y395" s="22" t="s">
        <v>12</v>
      </c>
      <c r="Z395" s="22" t="s">
        <v>12</v>
      </c>
      <c r="AA395" s="22" t="s">
        <v>12</v>
      </c>
      <c r="AB395" s="22" t="s">
        <v>12</v>
      </c>
      <c r="AC395" s="22" t="s">
        <v>12</v>
      </c>
    </row>
    <row r="396" spans="1:29" ht="18.75" customHeight="1" x14ac:dyDescent="0.2">
      <c r="A396" s="70" t="s">
        <v>78</v>
      </c>
      <c r="B396" s="27" t="s">
        <v>5</v>
      </c>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row>
    <row r="397" spans="1:29" ht="18" x14ac:dyDescent="0.2">
      <c r="A397" s="70"/>
      <c r="B397" s="27" t="s">
        <v>6</v>
      </c>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row>
    <row r="398" spans="1:29" ht="18" x14ac:dyDescent="0.2">
      <c r="A398" s="70"/>
      <c r="B398" s="27" t="s">
        <v>3</v>
      </c>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row>
    <row r="399" spans="1:29" ht="18.75" customHeight="1" x14ac:dyDescent="0.2">
      <c r="A399" s="70" t="s">
        <v>79</v>
      </c>
      <c r="B399" s="27" t="s">
        <v>5</v>
      </c>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row>
    <row r="400" spans="1:29" ht="18" x14ac:dyDescent="0.2">
      <c r="A400" s="70"/>
      <c r="B400" s="27" t="s">
        <v>6</v>
      </c>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row>
    <row r="401" spans="1:29" ht="18" x14ac:dyDescent="0.2">
      <c r="A401" s="70"/>
      <c r="B401" s="27" t="s">
        <v>3</v>
      </c>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row>
    <row r="402" spans="1:29" ht="18" x14ac:dyDescent="0.2">
      <c r="A402" s="70"/>
      <c r="B402" s="27" t="s">
        <v>5</v>
      </c>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2"/>
      <c r="AC402" s="28"/>
    </row>
    <row r="403" spans="1:29" ht="18" x14ac:dyDescent="0.2">
      <c r="A403" s="70"/>
      <c r="B403" s="27" t="s">
        <v>6</v>
      </c>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row>
    <row r="404" spans="1:29" ht="18" x14ac:dyDescent="0.2">
      <c r="A404" s="70"/>
      <c r="B404" s="27" t="s">
        <v>3</v>
      </c>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row>
    <row r="405" spans="1:29" ht="18" x14ac:dyDescent="0.2">
      <c r="A405" s="20" t="s">
        <v>0</v>
      </c>
      <c r="B405" s="21" t="s">
        <v>2</v>
      </c>
      <c r="C405" s="76" t="s">
        <v>13</v>
      </c>
      <c r="D405" s="76"/>
      <c r="E405" s="76"/>
      <c r="F405" s="76"/>
      <c r="G405" s="76"/>
      <c r="H405" s="76" t="s">
        <v>14</v>
      </c>
      <c r="I405" s="76"/>
      <c r="J405" s="76"/>
      <c r="K405" s="76"/>
      <c r="L405" s="76" t="s">
        <v>15</v>
      </c>
      <c r="M405" s="76"/>
      <c r="N405" s="76"/>
      <c r="O405" s="76"/>
      <c r="P405" s="76" t="s">
        <v>16</v>
      </c>
      <c r="Q405" s="76"/>
      <c r="R405" s="76"/>
      <c r="S405" s="76"/>
      <c r="T405" s="76"/>
      <c r="U405" s="76" t="s">
        <v>17</v>
      </c>
      <c r="V405" s="76"/>
      <c r="W405" s="76"/>
      <c r="X405" s="76"/>
      <c r="Y405" s="76" t="s">
        <v>18</v>
      </c>
      <c r="Z405" s="76"/>
      <c r="AA405" s="76"/>
      <c r="AB405" s="76"/>
      <c r="AC405" s="76"/>
    </row>
    <row r="406" spans="1:29" ht="18" x14ac:dyDescent="0.2">
      <c r="A406" s="20" t="s">
        <v>1</v>
      </c>
      <c r="B406" s="24" t="s">
        <v>3</v>
      </c>
      <c r="C406" s="35" t="str">
        <f t="shared" ref="C406:AC406" si="25">C316</f>
        <v>1-6</v>
      </c>
      <c r="D406" s="35" t="str">
        <f t="shared" si="25"/>
        <v>7-13</v>
      </c>
      <c r="E406" s="35" t="str">
        <f t="shared" si="25"/>
        <v>14-20</v>
      </c>
      <c r="F406" s="35" t="str">
        <f t="shared" si="25"/>
        <v>21-27</v>
      </c>
      <c r="G406" s="35" t="str">
        <f t="shared" si="25"/>
        <v>28-31</v>
      </c>
      <c r="H406" s="35" t="str">
        <f t="shared" si="25"/>
        <v>1-10</v>
      </c>
      <c r="I406" s="35" t="str">
        <f t="shared" si="25"/>
        <v>11-17</v>
      </c>
      <c r="J406" s="35" t="str">
        <f t="shared" si="25"/>
        <v>18-24</v>
      </c>
      <c r="K406" s="35" t="str">
        <f t="shared" si="25"/>
        <v>25-31</v>
      </c>
      <c r="L406" s="35" t="str">
        <f t="shared" si="25"/>
        <v>1-7</v>
      </c>
      <c r="M406" s="35" t="str">
        <f t="shared" si="25"/>
        <v>8-14</v>
      </c>
      <c r="N406" s="35" t="str">
        <f t="shared" si="25"/>
        <v>15-21</v>
      </c>
      <c r="O406" s="35" t="str">
        <f t="shared" si="25"/>
        <v>22-30</v>
      </c>
      <c r="P406" s="35" t="str">
        <f t="shared" si="25"/>
        <v>1-5</v>
      </c>
      <c r="Q406" s="35" t="str">
        <f t="shared" si="25"/>
        <v>6-12</v>
      </c>
      <c r="R406" s="35" t="str">
        <f t="shared" si="25"/>
        <v>13-19</v>
      </c>
      <c r="S406" s="35" t="str">
        <f t="shared" si="25"/>
        <v>20-26</v>
      </c>
      <c r="T406" s="35" t="str">
        <f t="shared" si="25"/>
        <v>27-31</v>
      </c>
      <c r="U406" s="35" t="str">
        <f t="shared" si="25"/>
        <v>1-9</v>
      </c>
      <c r="V406" s="35" t="str">
        <f t="shared" si="25"/>
        <v>10-16</v>
      </c>
      <c r="W406" s="35" t="str">
        <f t="shared" si="25"/>
        <v>17-23</v>
      </c>
      <c r="X406" s="35" t="str">
        <f t="shared" si="25"/>
        <v>24-30</v>
      </c>
      <c r="Y406" s="35" t="str">
        <f t="shared" si="25"/>
        <v>1-7</v>
      </c>
      <c r="Z406" s="35" t="str">
        <f t="shared" si="25"/>
        <v>8-14</v>
      </c>
      <c r="AA406" s="35" t="str">
        <f t="shared" si="25"/>
        <v>15-21</v>
      </c>
      <c r="AB406" s="35" t="str">
        <f t="shared" si="25"/>
        <v>22-28</v>
      </c>
      <c r="AC406" s="35" t="str">
        <f t="shared" si="25"/>
        <v>29-31</v>
      </c>
    </row>
    <row r="407" spans="1:29" ht="18" x14ac:dyDescent="0.2">
      <c r="A407" s="34"/>
      <c r="B407" s="26" t="s">
        <v>4</v>
      </c>
      <c r="C407" s="22" t="s">
        <v>12</v>
      </c>
      <c r="D407" s="22" t="s">
        <v>12</v>
      </c>
      <c r="E407" s="22" t="s">
        <v>12</v>
      </c>
      <c r="F407" s="22" t="s">
        <v>12</v>
      </c>
      <c r="G407" s="22" t="s">
        <v>12</v>
      </c>
      <c r="H407" s="22" t="s">
        <v>12</v>
      </c>
      <c r="I407" s="22" t="s">
        <v>12</v>
      </c>
      <c r="J407" s="22" t="s">
        <v>12</v>
      </c>
      <c r="K407" s="22" t="s">
        <v>12</v>
      </c>
      <c r="L407" s="22" t="s">
        <v>12</v>
      </c>
      <c r="M407" s="22" t="s">
        <v>12</v>
      </c>
      <c r="N407" s="22" t="s">
        <v>12</v>
      </c>
      <c r="O407" s="22" t="s">
        <v>12</v>
      </c>
      <c r="P407" s="22" t="s">
        <v>12</v>
      </c>
      <c r="Q407" s="22" t="s">
        <v>12</v>
      </c>
      <c r="R407" s="22" t="s">
        <v>12</v>
      </c>
      <c r="S407" s="22" t="s">
        <v>12</v>
      </c>
      <c r="T407" s="22" t="s">
        <v>12</v>
      </c>
      <c r="U407" s="22" t="s">
        <v>12</v>
      </c>
      <c r="V407" s="22" t="s">
        <v>12</v>
      </c>
      <c r="W407" s="22" t="s">
        <v>12</v>
      </c>
      <c r="X407" s="22" t="s">
        <v>12</v>
      </c>
      <c r="Y407" s="22" t="s">
        <v>12</v>
      </c>
      <c r="Z407" s="22" t="s">
        <v>12</v>
      </c>
      <c r="AA407" s="22" t="s">
        <v>12</v>
      </c>
      <c r="AB407" s="22" t="s">
        <v>12</v>
      </c>
      <c r="AC407" s="22" t="s">
        <v>12</v>
      </c>
    </row>
    <row r="408" spans="1:29" ht="18.75" customHeight="1" x14ac:dyDescent="0.2">
      <c r="A408" s="70" t="s">
        <v>78</v>
      </c>
      <c r="B408" s="27" t="s">
        <v>5</v>
      </c>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row>
    <row r="409" spans="1:29" ht="18" x14ac:dyDescent="0.2">
      <c r="A409" s="70"/>
      <c r="B409" s="27" t="s">
        <v>6</v>
      </c>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row>
    <row r="410" spans="1:29" ht="18" x14ac:dyDescent="0.2">
      <c r="A410" s="70"/>
      <c r="B410" s="27" t="s">
        <v>3</v>
      </c>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row>
    <row r="411" spans="1:29" ht="18.75" customHeight="1" x14ac:dyDescent="0.2">
      <c r="A411" s="70" t="s">
        <v>79</v>
      </c>
      <c r="B411" s="27" t="s">
        <v>5</v>
      </c>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row>
    <row r="412" spans="1:29" ht="18" x14ac:dyDescent="0.2">
      <c r="A412" s="70"/>
      <c r="B412" s="27" t="s">
        <v>6</v>
      </c>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row>
    <row r="413" spans="1:29" ht="18" x14ac:dyDescent="0.2">
      <c r="A413" s="70"/>
      <c r="B413" s="27" t="s">
        <v>3</v>
      </c>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row>
    <row r="414" spans="1:29" ht="18" x14ac:dyDescent="0.2">
      <c r="A414" s="70"/>
      <c r="B414" s="27" t="s">
        <v>5</v>
      </c>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2"/>
      <c r="AC414" s="28"/>
    </row>
    <row r="415" spans="1:29" ht="18" x14ac:dyDescent="0.2">
      <c r="A415" s="70"/>
      <c r="B415" s="27" t="s">
        <v>6</v>
      </c>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row>
    <row r="416" spans="1:29" ht="18" x14ac:dyDescent="0.2">
      <c r="A416" s="70"/>
      <c r="B416" s="27" t="s">
        <v>3</v>
      </c>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row>
    <row r="417" spans="1:29" ht="18" x14ac:dyDescent="0.4">
      <c r="A417" s="4" t="s">
        <v>219</v>
      </c>
      <c r="B417" s="4"/>
      <c r="C417" s="4"/>
      <c r="D417" s="4"/>
      <c r="E417" s="4"/>
      <c r="F417" s="4"/>
      <c r="G417" s="4"/>
      <c r="H417" s="4"/>
      <c r="I417" s="4"/>
      <c r="J417" s="4"/>
      <c r="K417" s="4"/>
      <c r="L417" s="4"/>
      <c r="M417" s="4"/>
      <c r="N417" s="4"/>
      <c r="O417" s="4"/>
      <c r="P417" s="4"/>
      <c r="Q417" s="4"/>
      <c r="R417" s="4"/>
      <c r="S417" s="4"/>
      <c r="T417" s="4"/>
      <c r="U417" s="4"/>
      <c r="V417" s="4"/>
      <c r="W417" s="71" t="s">
        <v>173</v>
      </c>
      <c r="X417" s="71"/>
      <c r="Y417" s="71"/>
      <c r="Z417" s="71"/>
      <c r="AA417" s="71"/>
      <c r="AB417" s="71"/>
      <c r="AC417" s="71"/>
    </row>
    <row r="418" spans="1:29" ht="18" x14ac:dyDescent="0.4">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spans="1:29" ht="18" x14ac:dyDescent="0.4">
      <c r="A419" s="9"/>
      <c r="B419" s="9"/>
      <c r="C419" s="9"/>
      <c r="D419" s="9"/>
      <c r="E419" s="9"/>
      <c r="F419" s="9"/>
      <c r="G419" s="9"/>
      <c r="H419" s="9"/>
      <c r="I419" s="9"/>
      <c r="J419" s="9"/>
      <c r="K419" s="9"/>
      <c r="L419" s="9"/>
      <c r="M419" s="9"/>
      <c r="N419" s="9"/>
      <c r="O419" s="9"/>
      <c r="P419" s="72" t="s">
        <v>28</v>
      </c>
      <c r="Q419" s="72"/>
      <c r="R419" s="73" t="str">
        <f>R389</f>
        <v>พีรวัส</v>
      </c>
      <c r="S419" s="73"/>
      <c r="T419" s="73"/>
      <c r="U419" s="72" t="s">
        <v>30</v>
      </c>
      <c r="V419" s="72"/>
      <c r="W419" s="73" t="str">
        <f>W389</f>
        <v>วรพงศ์</v>
      </c>
      <c r="X419" s="73"/>
      <c r="Y419" s="73"/>
      <c r="Z419" s="8" t="s">
        <v>29</v>
      </c>
      <c r="AA419" s="74">
        <f>AA389</f>
        <v>46021</v>
      </c>
      <c r="AB419" s="74"/>
      <c r="AC419" s="74"/>
    </row>
    <row r="420" spans="1:29" ht="18" x14ac:dyDescent="0.4">
      <c r="A420" s="4"/>
      <c r="B420" s="4"/>
      <c r="C420" s="4"/>
      <c r="D420" s="4"/>
      <c r="E420" s="4"/>
      <c r="F420" s="4"/>
      <c r="G420" s="4"/>
      <c r="H420" s="4"/>
      <c r="I420" s="4"/>
      <c r="J420" s="4"/>
      <c r="K420" s="4"/>
      <c r="L420" s="4"/>
      <c r="M420" s="4"/>
      <c r="N420" s="4"/>
      <c r="O420" s="4"/>
      <c r="P420" s="12"/>
      <c r="Q420" s="12"/>
      <c r="R420" s="10"/>
      <c r="S420" s="10"/>
      <c r="T420" s="10"/>
      <c r="U420" s="12"/>
      <c r="V420" s="12"/>
      <c r="W420" s="10"/>
      <c r="X420" s="10"/>
      <c r="Y420" s="10"/>
      <c r="Z420" s="12"/>
      <c r="AA420" s="13"/>
      <c r="AB420" s="13"/>
      <c r="AC420" s="13"/>
    </row>
    <row r="421" spans="1:29" ht="23.25" x14ac:dyDescent="0.5">
      <c r="A421" s="80" t="s">
        <v>26</v>
      </c>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c r="AA421" s="80"/>
      <c r="AB421" s="80"/>
      <c r="AC421" s="80"/>
    </row>
    <row r="422" spans="1:29" ht="21" x14ac:dyDescent="0.45">
      <c r="A422" s="6" t="s">
        <v>22</v>
      </c>
      <c r="B422" s="81" t="s">
        <v>82</v>
      </c>
      <c r="C422" s="81"/>
      <c r="D422" s="81"/>
      <c r="E422" s="81"/>
      <c r="F422" s="81"/>
      <c r="G422" s="81"/>
      <c r="H422" s="6" t="s">
        <v>24</v>
      </c>
      <c r="I422" s="82" t="s">
        <v>263</v>
      </c>
      <c r="J422" s="82"/>
      <c r="K422" s="82"/>
      <c r="L422" s="82"/>
      <c r="M422" s="83" t="s">
        <v>25</v>
      </c>
      <c r="N422" s="83"/>
      <c r="O422" s="81" t="s">
        <v>83</v>
      </c>
      <c r="P422" s="81"/>
      <c r="Q422" s="81"/>
      <c r="R422" s="81"/>
      <c r="S422" s="81"/>
      <c r="T422" s="6" t="s">
        <v>20</v>
      </c>
      <c r="U422" s="81">
        <f>$U$2</f>
        <v>2569</v>
      </c>
      <c r="V422" s="81"/>
      <c r="W422" s="83" t="s">
        <v>35</v>
      </c>
      <c r="X422" s="83"/>
      <c r="Y422" s="83"/>
      <c r="Z422" s="1" t="s">
        <v>261</v>
      </c>
      <c r="AA422" s="1"/>
      <c r="AB422" s="1"/>
      <c r="AC422" s="1"/>
    </row>
    <row r="423" spans="1:29" ht="18" x14ac:dyDescent="0.2">
      <c r="A423" s="20" t="s">
        <v>0</v>
      </c>
      <c r="B423" s="21" t="s">
        <v>2</v>
      </c>
      <c r="C423" s="75" t="s">
        <v>32</v>
      </c>
      <c r="D423" s="75"/>
      <c r="E423" s="75"/>
      <c r="F423" s="75"/>
      <c r="G423" s="75"/>
      <c r="H423" s="75" t="s">
        <v>7</v>
      </c>
      <c r="I423" s="75"/>
      <c r="J423" s="75"/>
      <c r="K423" s="75"/>
      <c r="L423" s="77" t="s">
        <v>8</v>
      </c>
      <c r="M423" s="78"/>
      <c r="N423" s="78"/>
      <c r="O423" s="79"/>
      <c r="P423" s="77" t="s">
        <v>9</v>
      </c>
      <c r="Q423" s="78"/>
      <c r="R423" s="78"/>
      <c r="S423" s="78"/>
      <c r="T423" s="79"/>
      <c r="U423" s="75" t="s">
        <v>10</v>
      </c>
      <c r="V423" s="75"/>
      <c r="W423" s="75"/>
      <c r="X423" s="75"/>
      <c r="Y423" s="75"/>
      <c r="Z423" s="75" t="s">
        <v>11</v>
      </c>
      <c r="AA423" s="75"/>
      <c r="AB423" s="75"/>
      <c r="AC423" s="75"/>
    </row>
    <row r="424" spans="1:29" ht="18" x14ac:dyDescent="0.2">
      <c r="A424" s="23" t="s">
        <v>1</v>
      </c>
      <c r="B424" s="24" t="s">
        <v>3</v>
      </c>
      <c r="C424" s="28" t="str">
        <f t="shared" ref="C424:AC424" si="26">C364</f>
        <v>1-5</v>
      </c>
      <c r="D424" s="28" t="str">
        <f t="shared" si="26"/>
        <v>6-12</v>
      </c>
      <c r="E424" s="28" t="str">
        <f t="shared" si="26"/>
        <v>13-19</v>
      </c>
      <c r="F424" s="28" t="str">
        <f t="shared" si="26"/>
        <v>20-26</v>
      </c>
      <c r="G424" s="28" t="str">
        <f t="shared" si="26"/>
        <v>27-31</v>
      </c>
      <c r="H424" s="28" t="str">
        <f t="shared" si="26"/>
        <v>1-9</v>
      </c>
      <c r="I424" s="28" t="str">
        <f t="shared" si="26"/>
        <v>10-16</v>
      </c>
      <c r="J424" s="28" t="str">
        <f t="shared" si="26"/>
        <v>17-23</v>
      </c>
      <c r="K424" s="28" t="str">
        <f t="shared" si="26"/>
        <v>24-28</v>
      </c>
      <c r="L424" s="28" t="str">
        <f t="shared" si="26"/>
        <v>1-9</v>
      </c>
      <c r="M424" s="28" t="str">
        <f t="shared" si="26"/>
        <v>10-16</v>
      </c>
      <c r="N424" s="28" t="str">
        <f t="shared" si="26"/>
        <v>17-23</v>
      </c>
      <c r="O424" s="28" t="str">
        <f t="shared" si="26"/>
        <v>24-31</v>
      </c>
      <c r="P424" s="28" t="str">
        <f t="shared" si="26"/>
        <v>1-6</v>
      </c>
      <c r="Q424" s="28" t="str">
        <f t="shared" si="26"/>
        <v>7-13</v>
      </c>
      <c r="R424" s="28" t="str">
        <f t="shared" si="26"/>
        <v>14-20</v>
      </c>
      <c r="S424" s="28" t="str">
        <f t="shared" si="26"/>
        <v>21-27</v>
      </c>
      <c r="T424" s="28" t="str">
        <f t="shared" si="26"/>
        <v>28-30</v>
      </c>
      <c r="U424" s="28" t="str">
        <f t="shared" si="26"/>
        <v>1-4</v>
      </c>
      <c r="V424" s="28" t="str">
        <f t="shared" si="26"/>
        <v>5-11</v>
      </c>
      <c r="W424" s="28" t="str">
        <f t="shared" si="26"/>
        <v>12-18</v>
      </c>
      <c r="X424" s="28" t="str">
        <f t="shared" si="26"/>
        <v>19-25</v>
      </c>
      <c r="Y424" s="28" t="str">
        <f t="shared" si="26"/>
        <v>26-31</v>
      </c>
      <c r="Z424" s="28" t="str">
        <f t="shared" si="26"/>
        <v>1-8</v>
      </c>
      <c r="AA424" s="28" t="str">
        <f t="shared" si="26"/>
        <v>9-15</v>
      </c>
      <c r="AB424" s="28" t="str">
        <f t="shared" si="26"/>
        <v>16-22</v>
      </c>
      <c r="AC424" s="28" t="str">
        <f t="shared" si="26"/>
        <v>23-30</v>
      </c>
    </row>
    <row r="425" spans="1:29" ht="18" x14ac:dyDescent="0.2">
      <c r="A425" s="25"/>
      <c r="B425" s="26" t="s">
        <v>4</v>
      </c>
      <c r="C425" s="22" t="s">
        <v>12</v>
      </c>
      <c r="D425" s="22" t="s">
        <v>12</v>
      </c>
      <c r="E425" s="22" t="s">
        <v>12</v>
      </c>
      <c r="F425" s="22" t="s">
        <v>12</v>
      </c>
      <c r="G425" s="22" t="s">
        <v>12</v>
      </c>
      <c r="H425" s="22" t="s">
        <v>12</v>
      </c>
      <c r="I425" s="22" t="s">
        <v>12</v>
      </c>
      <c r="J425" s="22" t="s">
        <v>12</v>
      </c>
      <c r="K425" s="22" t="s">
        <v>12</v>
      </c>
      <c r="L425" s="22" t="s">
        <v>12</v>
      </c>
      <c r="M425" s="22" t="s">
        <v>12</v>
      </c>
      <c r="N425" s="22" t="s">
        <v>12</v>
      </c>
      <c r="O425" s="22" t="s">
        <v>12</v>
      </c>
      <c r="P425" s="22" t="s">
        <v>12</v>
      </c>
      <c r="Q425" s="22" t="s">
        <v>12</v>
      </c>
      <c r="R425" s="22" t="s">
        <v>12</v>
      </c>
      <c r="S425" s="22" t="s">
        <v>12</v>
      </c>
      <c r="T425" s="22" t="s">
        <v>12</v>
      </c>
      <c r="U425" s="22" t="s">
        <v>12</v>
      </c>
      <c r="V425" s="22" t="s">
        <v>12</v>
      </c>
      <c r="W425" s="22" t="s">
        <v>12</v>
      </c>
      <c r="X425" s="22" t="s">
        <v>12</v>
      </c>
      <c r="Y425" s="22" t="s">
        <v>12</v>
      </c>
      <c r="Z425" s="22" t="s">
        <v>12</v>
      </c>
      <c r="AA425" s="22" t="s">
        <v>12</v>
      </c>
      <c r="AB425" s="22" t="s">
        <v>12</v>
      </c>
      <c r="AC425" s="22" t="s">
        <v>12</v>
      </c>
    </row>
    <row r="426" spans="1:29" ht="18.75" customHeight="1" x14ac:dyDescent="0.2">
      <c r="A426" s="70" t="s">
        <v>262</v>
      </c>
      <c r="B426" s="27" t="s">
        <v>5</v>
      </c>
      <c r="C426" s="28" t="s">
        <v>60</v>
      </c>
      <c r="D426" s="28" t="s">
        <v>60</v>
      </c>
      <c r="E426" s="28" t="s">
        <v>60</v>
      </c>
      <c r="F426" s="28" t="s">
        <v>60</v>
      </c>
      <c r="G426" s="28" t="s">
        <v>60</v>
      </c>
      <c r="H426" s="28" t="s">
        <v>60</v>
      </c>
      <c r="I426" s="28" t="s">
        <v>60</v>
      </c>
      <c r="J426" s="28" t="s">
        <v>60</v>
      </c>
      <c r="K426" s="28" t="s">
        <v>60</v>
      </c>
      <c r="L426" s="28" t="s">
        <v>60</v>
      </c>
      <c r="M426" s="28" t="s">
        <v>60</v>
      </c>
      <c r="N426" s="28" t="s">
        <v>60</v>
      </c>
      <c r="O426" s="28" t="s">
        <v>60</v>
      </c>
      <c r="P426" s="28" t="s">
        <v>60</v>
      </c>
      <c r="Q426" s="28" t="s">
        <v>60</v>
      </c>
      <c r="R426" s="28" t="s">
        <v>60</v>
      </c>
      <c r="S426" s="28" t="s">
        <v>60</v>
      </c>
      <c r="T426" s="28" t="s">
        <v>60</v>
      </c>
      <c r="U426" s="28" t="s">
        <v>60</v>
      </c>
      <c r="V426" s="28" t="s">
        <v>60</v>
      </c>
      <c r="W426" s="28" t="s">
        <v>60</v>
      </c>
      <c r="X426" s="28" t="s">
        <v>60</v>
      </c>
      <c r="Y426" s="28" t="s">
        <v>60</v>
      </c>
      <c r="Z426" s="28" t="s">
        <v>60</v>
      </c>
      <c r="AA426" s="28" t="s">
        <v>60</v>
      </c>
      <c r="AB426" s="28" t="s">
        <v>60</v>
      </c>
      <c r="AC426" s="28" t="s">
        <v>60</v>
      </c>
    </row>
    <row r="427" spans="1:29" ht="18" x14ac:dyDescent="0.2">
      <c r="A427" s="70"/>
      <c r="B427" s="27" t="s">
        <v>6</v>
      </c>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row>
    <row r="428" spans="1:29" ht="18" x14ac:dyDescent="0.2">
      <c r="A428" s="70"/>
      <c r="B428" s="27" t="s">
        <v>3</v>
      </c>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row>
    <row r="429" spans="1:29" ht="18.75" customHeight="1" x14ac:dyDescent="0.2">
      <c r="A429" s="70"/>
      <c r="B429" s="27" t="s">
        <v>5</v>
      </c>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row>
    <row r="430" spans="1:29" ht="18" x14ac:dyDescent="0.2">
      <c r="A430" s="70"/>
      <c r="B430" s="27" t="s">
        <v>6</v>
      </c>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row>
    <row r="431" spans="1:29" ht="18" x14ac:dyDescent="0.2">
      <c r="A431" s="70"/>
      <c r="B431" s="27" t="s">
        <v>3</v>
      </c>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row>
    <row r="432" spans="1:29" ht="18" x14ac:dyDescent="0.2">
      <c r="A432" s="70"/>
      <c r="B432" s="27" t="s">
        <v>5</v>
      </c>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2"/>
      <c r="AC432" s="28"/>
    </row>
    <row r="433" spans="1:29" ht="18" x14ac:dyDescent="0.2">
      <c r="A433" s="70"/>
      <c r="B433" s="27" t="s">
        <v>6</v>
      </c>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row>
    <row r="434" spans="1:29" ht="18" x14ac:dyDescent="0.2">
      <c r="A434" s="70"/>
      <c r="B434" s="27" t="s">
        <v>3</v>
      </c>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row>
    <row r="435" spans="1:29" ht="18" x14ac:dyDescent="0.2">
      <c r="A435" s="20" t="s">
        <v>0</v>
      </c>
      <c r="B435" s="21" t="s">
        <v>2</v>
      </c>
      <c r="C435" s="76" t="s">
        <v>13</v>
      </c>
      <c r="D435" s="76"/>
      <c r="E435" s="76"/>
      <c r="F435" s="76"/>
      <c r="G435" s="76"/>
      <c r="H435" s="76" t="s">
        <v>14</v>
      </c>
      <c r="I435" s="76"/>
      <c r="J435" s="76"/>
      <c r="K435" s="76"/>
      <c r="L435" s="76" t="s">
        <v>15</v>
      </c>
      <c r="M435" s="76"/>
      <c r="N435" s="76"/>
      <c r="O435" s="76"/>
      <c r="P435" s="76" t="s">
        <v>16</v>
      </c>
      <c r="Q435" s="76"/>
      <c r="R435" s="76"/>
      <c r="S435" s="76"/>
      <c r="T435" s="76"/>
      <c r="U435" s="76" t="s">
        <v>17</v>
      </c>
      <c r="V435" s="76"/>
      <c r="W435" s="76"/>
      <c r="X435" s="76"/>
      <c r="Y435" s="76" t="s">
        <v>18</v>
      </c>
      <c r="Z435" s="76"/>
      <c r="AA435" s="76"/>
      <c r="AB435" s="76"/>
      <c r="AC435" s="76"/>
    </row>
    <row r="436" spans="1:29" ht="18" x14ac:dyDescent="0.2">
      <c r="A436" s="20" t="s">
        <v>1</v>
      </c>
      <c r="B436" s="24" t="s">
        <v>3</v>
      </c>
      <c r="C436" s="35" t="str">
        <f t="shared" ref="C436:AC436" si="27">C346</f>
        <v>1-6</v>
      </c>
      <c r="D436" s="35" t="str">
        <f t="shared" si="27"/>
        <v>7-13</v>
      </c>
      <c r="E436" s="35" t="str">
        <f t="shared" si="27"/>
        <v>14-20</v>
      </c>
      <c r="F436" s="35" t="str">
        <f t="shared" si="27"/>
        <v>21-27</v>
      </c>
      <c r="G436" s="35" t="str">
        <f t="shared" si="27"/>
        <v>28-31</v>
      </c>
      <c r="H436" s="35" t="str">
        <f t="shared" si="27"/>
        <v>1-10</v>
      </c>
      <c r="I436" s="35" t="str">
        <f t="shared" si="27"/>
        <v>11-17</v>
      </c>
      <c r="J436" s="35" t="str">
        <f t="shared" si="27"/>
        <v>18-24</v>
      </c>
      <c r="K436" s="35" t="str">
        <f t="shared" si="27"/>
        <v>25-31</v>
      </c>
      <c r="L436" s="35" t="str">
        <f t="shared" si="27"/>
        <v>1-7</v>
      </c>
      <c r="M436" s="35" t="str">
        <f t="shared" si="27"/>
        <v>8-14</v>
      </c>
      <c r="N436" s="35" t="str">
        <f t="shared" si="27"/>
        <v>15-21</v>
      </c>
      <c r="O436" s="35" t="str">
        <f t="shared" si="27"/>
        <v>22-30</v>
      </c>
      <c r="P436" s="35" t="str">
        <f t="shared" si="27"/>
        <v>1-5</v>
      </c>
      <c r="Q436" s="35" t="str">
        <f t="shared" si="27"/>
        <v>6-12</v>
      </c>
      <c r="R436" s="35" t="str">
        <f t="shared" si="27"/>
        <v>13-19</v>
      </c>
      <c r="S436" s="35" t="str">
        <f t="shared" si="27"/>
        <v>20-26</v>
      </c>
      <c r="T436" s="35" t="str">
        <f t="shared" si="27"/>
        <v>27-31</v>
      </c>
      <c r="U436" s="35" t="str">
        <f t="shared" si="27"/>
        <v>1-9</v>
      </c>
      <c r="V436" s="35" t="str">
        <f t="shared" si="27"/>
        <v>10-16</v>
      </c>
      <c r="W436" s="35" t="str">
        <f t="shared" si="27"/>
        <v>17-23</v>
      </c>
      <c r="X436" s="35" t="str">
        <f t="shared" si="27"/>
        <v>24-30</v>
      </c>
      <c r="Y436" s="35" t="str">
        <f t="shared" si="27"/>
        <v>1-7</v>
      </c>
      <c r="Z436" s="35" t="str">
        <f t="shared" si="27"/>
        <v>8-14</v>
      </c>
      <c r="AA436" s="35" t="str">
        <f t="shared" si="27"/>
        <v>15-21</v>
      </c>
      <c r="AB436" s="35" t="str">
        <f t="shared" si="27"/>
        <v>22-28</v>
      </c>
      <c r="AC436" s="35" t="str">
        <f t="shared" si="27"/>
        <v>29-31</v>
      </c>
    </row>
    <row r="437" spans="1:29" ht="18" x14ac:dyDescent="0.2">
      <c r="A437" s="34"/>
      <c r="B437" s="26" t="s">
        <v>4</v>
      </c>
      <c r="C437" s="22" t="s">
        <v>12</v>
      </c>
      <c r="D437" s="22" t="s">
        <v>12</v>
      </c>
      <c r="E437" s="22" t="s">
        <v>12</v>
      </c>
      <c r="F437" s="22" t="s">
        <v>12</v>
      </c>
      <c r="G437" s="22" t="s">
        <v>12</v>
      </c>
      <c r="H437" s="22" t="s">
        <v>12</v>
      </c>
      <c r="I437" s="22" t="s">
        <v>12</v>
      </c>
      <c r="J437" s="22" t="s">
        <v>12</v>
      </c>
      <c r="K437" s="22" t="s">
        <v>12</v>
      </c>
      <c r="L437" s="22" t="s">
        <v>12</v>
      </c>
      <c r="M437" s="22" t="s">
        <v>12</v>
      </c>
      <c r="N437" s="22" t="s">
        <v>12</v>
      </c>
      <c r="O437" s="22" t="s">
        <v>12</v>
      </c>
      <c r="P437" s="22" t="s">
        <v>12</v>
      </c>
      <c r="Q437" s="22" t="s">
        <v>12</v>
      </c>
      <c r="R437" s="22" t="s">
        <v>12</v>
      </c>
      <c r="S437" s="22" t="s">
        <v>12</v>
      </c>
      <c r="T437" s="22" t="s">
        <v>12</v>
      </c>
      <c r="U437" s="22" t="s">
        <v>12</v>
      </c>
      <c r="V437" s="22" t="s">
        <v>12</v>
      </c>
      <c r="W437" s="22" t="s">
        <v>12</v>
      </c>
      <c r="X437" s="22" t="s">
        <v>12</v>
      </c>
      <c r="Y437" s="22" t="s">
        <v>12</v>
      </c>
      <c r="Z437" s="22" t="s">
        <v>12</v>
      </c>
      <c r="AA437" s="22" t="s">
        <v>12</v>
      </c>
      <c r="AB437" s="22" t="s">
        <v>12</v>
      </c>
      <c r="AC437" s="22" t="s">
        <v>12</v>
      </c>
    </row>
    <row r="438" spans="1:29" ht="18.75" customHeight="1" x14ac:dyDescent="0.2">
      <c r="A438" s="70" t="s">
        <v>262</v>
      </c>
      <c r="B438" s="27" t="s">
        <v>5</v>
      </c>
      <c r="C438" s="28" t="s">
        <v>60</v>
      </c>
      <c r="D438" s="28" t="s">
        <v>60</v>
      </c>
      <c r="E438" s="28" t="s">
        <v>60</v>
      </c>
      <c r="F438" s="28" t="s">
        <v>60</v>
      </c>
      <c r="G438" s="28" t="s">
        <v>60</v>
      </c>
      <c r="H438" s="28" t="s">
        <v>60</v>
      </c>
      <c r="I438" s="28" t="s">
        <v>60</v>
      </c>
      <c r="J438" s="28" t="s">
        <v>60</v>
      </c>
      <c r="K438" s="28" t="s">
        <v>60</v>
      </c>
      <c r="L438" s="28" t="s">
        <v>60</v>
      </c>
      <c r="M438" s="28" t="s">
        <v>60</v>
      </c>
      <c r="N438" s="28" t="s">
        <v>60</v>
      </c>
      <c r="O438" s="28" t="s">
        <v>60</v>
      </c>
      <c r="P438" s="28" t="s">
        <v>60</v>
      </c>
      <c r="Q438" s="28" t="s">
        <v>60</v>
      </c>
      <c r="R438" s="28" t="s">
        <v>60</v>
      </c>
      <c r="S438" s="28" t="s">
        <v>60</v>
      </c>
      <c r="T438" s="28" t="s">
        <v>60</v>
      </c>
      <c r="U438" s="28" t="s">
        <v>60</v>
      </c>
      <c r="V438" s="28" t="s">
        <v>60</v>
      </c>
      <c r="W438" s="28" t="s">
        <v>60</v>
      </c>
      <c r="X438" s="28" t="s">
        <v>60</v>
      </c>
      <c r="Y438" s="28" t="s">
        <v>60</v>
      </c>
      <c r="Z438" s="28" t="s">
        <v>60</v>
      </c>
      <c r="AA438" s="28" t="s">
        <v>60</v>
      </c>
      <c r="AB438" s="28" t="s">
        <v>60</v>
      </c>
      <c r="AC438" s="28" t="s">
        <v>60</v>
      </c>
    </row>
    <row r="439" spans="1:29" ht="18" x14ac:dyDescent="0.2">
      <c r="A439" s="70"/>
      <c r="B439" s="27" t="s">
        <v>6</v>
      </c>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row>
    <row r="440" spans="1:29" ht="18" x14ac:dyDescent="0.2">
      <c r="A440" s="70"/>
      <c r="B440" s="27" t="s">
        <v>3</v>
      </c>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row>
    <row r="441" spans="1:29" ht="18.75" customHeight="1" x14ac:dyDescent="0.2">
      <c r="A441" s="70"/>
      <c r="B441" s="27" t="s">
        <v>5</v>
      </c>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row>
    <row r="442" spans="1:29" ht="18" x14ac:dyDescent="0.2">
      <c r="A442" s="70"/>
      <c r="B442" s="27" t="s">
        <v>6</v>
      </c>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row>
    <row r="443" spans="1:29" ht="18" x14ac:dyDescent="0.2">
      <c r="A443" s="70"/>
      <c r="B443" s="27" t="s">
        <v>3</v>
      </c>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row>
    <row r="444" spans="1:29" ht="18" x14ac:dyDescent="0.2">
      <c r="A444" s="70"/>
      <c r="B444" s="27" t="s">
        <v>5</v>
      </c>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2"/>
      <c r="AC444" s="28"/>
    </row>
    <row r="445" spans="1:29" ht="18" x14ac:dyDescent="0.2">
      <c r="A445" s="70"/>
      <c r="B445" s="27" t="s">
        <v>6</v>
      </c>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row>
    <row r="446" spans="1:29" ht="18" x14ac:dyDescent="0.2">
      <c r="A446" s="70"/>
      <c r="B446" s="27" t="s">
        <v>3</v>
      </c>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row>
    <row r="447" spans="1:29" ht="18" x14ac:dyDescent="0.4">
      <c r="A447" s="4" t="s">
        <v>219</v>
      </c>
      <c r="B447" s="4"/>
      <c r="C447" s="4"/>
      <c r="D447" s="4"/>
      <c r="E447" s="4"/>
      <c r="F447" s="4"/>
      <c r="G447" s="4"/>
      <c r="H447" s="4"/>
      <c r="I447" s="4"/>
      <c r="J447" s="4"/>
      <c r="K447" s="4"/>
      <c r="L447" s="4"/>
      <c r="M447" s="4"/>
      <c r="N447" s="4"/>
      <c r="O447" s="4"/>
      <c r="P447" s="4"/>
      <c r="Q447" s="4"/>
      <c r="R447" s="4"/>
      <c r="S447" s="4"/>
      <c r="T447" s="4"/>
      <c r="U447" s="4"/>
      <c r="V447" s="4"/>
      <c r="W447" s="71" t="s">
        <v>173</v>
      </c>
      <c r="X447" s="71"/>
      <c r="Y447" s="71"/>
      <c r="Z447" s="71"/>
      <c r="AA447" s="71"/>
      <c r="AB447" s="71"/>
      <c r="AC447" s="71"/>
    </row>
    <row r="448" spans="1:29" ht="18" x14ac:dyDescent="0.4">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spans="1:29" ht="18" x14ac:dyDescent="0.4">
      <c r="A449" s="9"/>
      <c r="B449" s="9"/>
      <c r="C449" s="9"/>
      <c r="D449" s="9"/>
      <c r="E449" s="9"/>
      <c r="F449" s="9"/>
      <c r="G449" s="9"/>
      <c r="H449" s="9"/>
      <c r="I449" s="9"/>
      <c r="J449" s="9"/>
      <c r="K449" s="9"/>
      <c r="L449" s="9"/>
      <c r="M449" s="9"/>
      <c r="N449" s="9"/>
      <c r="O449" s="9"/>
      <c r="P449" s="72" t="s">
        <v>28</v>
      </c>
      <c r="Q449" s="72"/>
      <c r="R449" s="73" t="str">
        <f>R419</f>
        <v>พีรวัส</v>
      </c>
      <c r="S449" s="73"/>
      <c r="T449" s="73"/>
      <c r="U449" s="72" t="s">
        <v>30</v>
      </c>
      <c r="V449" s="72"/>
      <c r="W449" s="73" t="str">
        <f>W419</f>
        <v>วรพงศ์</v>
      </c>
      <c r="X449" s="73"/>
      <c r="Y449" s="73"/>
      <c r="Z449" s="8" t="s">
        <v>29</v>
      </c>
      <c r="AA449" s="74">
        <f>AA419</f>
        <v>46021</v>
      </c>
      <c r="AB449" s="74"/>
      <c r="AC449" s="74"/>
    </row>
    <row r="450" spans="1:29" ht="18" x14ac:dyDescent="0.4">
      <c r="A450" s="4"/>
      <c r="B450" s="4"/>
      <c r="C450" s="4"/>
      <c r="D450" s="4"/>
      <c r="E450" s="4"/>
      <c r="F450" s="4"/>
      <c r="G450" s="4"/>
      <c r="H450" s="4"/>
      <c r="I450" s="4"/>
      <c r="J450" s="4"/>
      <c r="K450" s="4"/>
      <c r="L450" s="4"/>
      <c r="M450" s="4"/>
      <c r="N450" s="4"/>
      <c r="O450" s="4"/>
      <c r="P450" s="12"/>
      <c r="Q450" s="12"/>
      <c r="R450" s="10"/>
      <c r="S450" s="10"/>
      <c r="T450" s="10"/>
      <c r="U450" s="12"/>
      <c r="V450" s="12"/>
      <c r="W450" s="10"/>
      <c r="X450" s="10"/>
      <c r="Y450" s="10"/>
      <c r="Z450" s="12"/>
      <c r="AA450" s="13"/>
      <c r="AB450" s="13"/>
      <c r="AC450" s="13"/>
    </row>
    <row r="451" spans="1:29" ht="23.25" x14ac:dyDescent="0.5">
      <c r="A451" s="80" t="s">
        <v>26</v>
      </c>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row>
    <row r="452" spans="1:29" ht="21" x14ac:dyDescent="0.45">
      <c r="A452" s="6" t="s">
        <v>22</v>
      </c>
      <c r="B452" s="81" t="s">
        <v>298</v>
      </c>
      <c r="C452" s="81"/>
      <c r="D452" s="81"/>
      <c r="E452" s="81"/>
      <c r="F452" s="81"/>
      <c r="G452" s="81"/>
      <c r="H452" s="6" t="s">
        <v>24</v>
      </c>
      <c r="I452" s="82" t="s">
        <v>12</v>
      </c>
      <c r="J452" s="82"/>
      <c r="K452" s="82"/>
      <c r="L452" s="82"/>
      <c r="M452" s="83" t="s">
        <v>25</v>
      </c>
      <c r="N452" s="83"/>
      <c r="O452" s="81" t="s">
        <v>302</v>
      </c>
      <c r="P452" s="81"/>
      <c r="Q452" s="81"/>
      <c r="R452" s="81"/>
      <c r="S452" s="81"/>
      <c r="T452" s="6" t="s">
        <v>20</v>
      </c>
      <c r="U452" s="81">
        <f>$U$2</f>
        <v>2569</v>
      </c>
      <c r="V452" s="81"/>
      <c r="W452" s="83" t="s">
        <v>35</v>
      </c>
      <c r="X452" s="83"/>
      <c r="Y452" s="83"/>
      <c r="Z452" s="1" t="s">
        <v>21</v>
      </c>
      <c r="AA452" s="1"/>
      <c r="AB452" s="1"/>
      <c r="AC452" s="1"/>
    </row>
    <row r="453" spans="1:29" ht="18" x14ac:dyDescent="0.2">
      <c r="A453" s="20" t="s">
        <v>0</v>
      </c>
      <c r="B453" s="21" t="s">
        <v>2</v>
      </c>
      <c r="C453" s="75" t="s">
        <v>32</v>
      </c>
      <c r="D453" s="75"/>
      <c r="E453" s="75"/>
      <c r="F453" s="75"/>
      <c r="G453" s="75"/>
      <c r="H453" s="75" t="s">
        <v>7</v>
      </c>
      <c r="I453" s="75"/>
      <c r="J453" s="75"/>
      <c r="K453" s="75"/>
      <c r="L453" s="77" t="s">
        <v>8</v>
      </c>
      <c r="M453" s="78"/>
      <c r="N453" s="78"/>
      <c r="O453" s="79"/>
      <c r="P453" s="77" t="s">
        <v>9</v>
      </c>
      <c r="Q453" s="78"/>
      <c r="R453" s="78"/>
      <c r="S453" s="78"/>
      <c r="T453" s="79"/>
      <c r="U453" s="75" t="s">
        <v>10</v>
      </c>
      <c r="V453" s="75"/>
      <c r="W453" s="75"/>
      <c r="X453" s="75"/>
      <c r="Y453" s="75"/>
      <c r="Z453" s="75" t="s">
        <v>11</v>
      </c>
      <c r="AA453" s="75"/>
      <c r="AB453" s="75"/>
      <c r="AC453" s="75"/>
    </row>
    <row r="454" spans="1:29" ht="18" x14ac:dyDescent="0.2">
      <c r="A454" s="23" t="s">
        <v>1</v>
      </c>
      <c r="B454" s="24" t="s">
        <v>3</v>
      </c>
      <c r="C454" s="28" t="str">
        <f t="shared" ref="C454:AC454" si="28">C394</f>
        <v>1-5</v>
      </c>
      <c r="D454" s="28" t="str">
        <f t="shared" si="28"/>
        <v>6-12</v>
      </c>
      <c r="E454" s="28" t="str">
        <f t="shared" si="28"/>
        <v>13-19</v>
      </c>
      <c r="F454" s="28" t="str">
        <f t="shared" si="28"/>
        <v>20-26</v>
      </c>
      <c r="G454" s="28" t="str">
        <f t="shared" si="28"/>
        <v>27-31</v>
      </c>
      <c r="H454" s="28" t="str">
        <f t="shared" si="28"/>
        <v>1-9</v>
      </c>
      <c r="I454" s="28" t="str">
        <f t="shared" si="28"/>
        <v>10-16</v>
      </c>
      <c r="J454" s="28" t="str">
        <f t="shared" si="28"/>
        <v>17-23</v>
      </c>
      <c r="K454" s="28" t="str">
        <f t="shared" si="28"/>
        <v>24-28</v>
      </c>
      <c r="L454" s="28" t="str">
        <f t="shared" si="28"/>
        <v>1-9</v>
      </c>
      <c r="M454" s="28" t="str">
        <f t="shared" si="28"/>
        <v>10-16</v>
      </c>
      <c r="N454" s="28" t="str">
        <f t="shared" si="28"/>
        <v>17-23</v>
      </c>
      <c r="O454" s="28" t="str">
        <f t="shared" si="28"/>
        <v>24-31</v>
      </c>
      <c r="P454" s="28" t="str">
        <f t="shared" si="28"/>
        <v>1-6</v>
      </c>
      <c r="Q454" s="28" t="str">
        <f t="shared" si="28"/>
        <v>7-13</v>
      </c>
      <c r="R454" s="28" t="str">
        <f t="shared" si="28"/>
        <v>14-20</v>
      </c>
      <c r="S454" s="28" t="str">
        <f t="shared" si="28"/>
        <v>21-27</v>
      </c>
      <c r="T454" s="28" t="str">
        <f t="shared" si="28"/>
        <v>28-30</v>
      </c>
      <c r="U454" s="28" t="str">
        <f t="shared" si="28"/>
        <v>1-4</v>
      </c>
      <c r="V454" s="28" t="str">
        <f t="shared" si="28"/>
        <v>5-11</v>
      </c>
      <c r="W454" s="28" t="str">
        <f t="shared" si="28"/>
        <v>12-18</v>
      </c>
      <c r="X454" s="28" t="str">
        <f t="shared" si="28"/>
        <v>19-25</v>
      </c>
      <c r="Y454" s="28" t="str">
        <f t="shared" si="28"/>
        <v>26-31</v>
      </c>
      <c r="Z454" s="28" t="str">
        <f t="shared" si="28"/>
        <v>1-8</v>
      </c>
      <c r="AA454" s="28" t="str">
        <f t="shared" si="28"/>
        <v>9-15</v>
      </c>
      <c r="AB454" s="28" t="str">
        <f t="shared" si="28"/>
        <v>16-22</v>
      </c>
      <c r="AC454" s="28" t="str">
        <f t="shared" si="28"/>
        <v>23-30</v>
      </c>
    </row>
    <row r="455" spans="1:29" ht="18" x14ac:dyDescent="0.2">
      <c r="A455" s="25"/>
      <c r="B455" s="26" t="s">
        <v>4</v>
      </c>
      <c r="C455" s="22" t="s">
        <v>12</v>
      </c>
      <c r="D455" s="22" t="s">
        <v>12</v>
      </c>
      <c r="E455" s="22" t="s">
        <v>12</v>
      </c>
      <c r="F455" s="22" t="s">
        <v>12</v>
      </c>
      <c r="G455" s="22" t="s">
        <v>12</v>
      </c>
      <c r="H455" s="22" t="s">
        <v>12</v>
      </c>
      <c r="I455" s="22" t="s">
        <v>12</v>
      </c>
      <c r="J455" s="22" t="s">
        <v>12</v>
      </c>
      <c r="K455" s="22" t="s">
        <v>12</v>
      </c>
      <c r="L455" s="22" t="s">
        <v>12</v>
      </c>
      <c r="M455" s="22" t="s">
        <v>12</v>
      </c>
      <c r="N455" s="22" t="s">
        <v>12</v>
      </c>
      <c r="O455" s="22" t="s">
        <v>12</v>
      </c>
      <c r="P455" s="22" t="s">
        <v>12</v>
      </c>
      <c r="Q455" s="22" t="s">
        <v>12</v>
      </c>
      <c r="R455" s="22" t="s">
        <v>12</v>
      </c>
      <c r="S455" s="22" t="s">
        <v>12</v>
      </c>
      <c r="T455" s="22" t="s">
        <v>12</v>
      </c>
      <c r="U455" s="22" t="s">
        <v>12</v>
      </c>
      <c r="V455" s="22" t="s">
        <v>12</v>
      </c>
      <c r="W455" s="22" t="s">
        <v>12</v>
      </c>
      <c r="X455" s="22" t="s">
        <v>12</v>
      </c>
      <c r="Y455" s="22" t="s">
        <v>12</v>
      </c>
      <c r="Z455" s="22" t="s">
        <v>12</v>
      </c>
      <c r="AA455" s="22" t="s">
        <v>12</v>
      </c>
      <c r="AB455" s="22" t="s">
        <v>12</v>
      </c>
      <c r="AC455" s="22" t="s">
        <v>12</v>
      </c>
    </row>
    <row r="456" spans="1:29" ht="18.75" customHeight="1" x14ac:dyDescent="0.2">
      <c r="A456" s="94" t="s">
        <v>303</v>
      </c>
      <c r="B456" s="27" t="s">
        <v>5</v>
      </c>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row>
    <row r="457" spans="1:29" ht="18" x14ac:dyDescent="0.2">
      <c r="A457" s="95"/>
      <c r="B457" s="27" t="s">
        <v>6</v>
      </c>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row>
    <row r="458" spans="1:29" ht="18" x14ac:dyDescent="0.2">
      <c r="A458" s="96"/>
      <c r="B458" s="27" t="s">
        <v>3</v>
      </c>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row>
    <row r="459" spans="1:29" ht="18.75" customHeight="1" x14ac:dyDescent="0.2">
      <c r="A459" s="70" t="s">
        <v>304</v>
      </c>
      <c r="B459" s="27" t="s">
        <v>5</v>
      </c>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row>
    <row r="460" spans="1:29" ht="18" x14ac:dyDescent="0.2">
      <c r="A460" s="70"/>
      <c r="B460" s="27" t="s">
        <v>6</v>
      </c>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row>
    <row r="461" spans="1:29" ht="18" x14ac:dyDescent="0.2">
      <c r="A461" s="70"/>
      <c r="B461" s="27" t="s">
        <v>3</v>
      </c>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row>
    <row r="462" spans="1:29" ht="18" x14ac:dyDescent="0.2">
      <c r="A462" s="70" t="s">
        <v>305</v>
      </c>
      <c r="B462" s="27" t="s">
        <v>5</v>
      </c>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2"/>
      <c r="AC462" s="28"/>
    </row>
    <row r="463" spans="1:29" ht="18" x14ac:dyDescent="0.2">
      <c r="A463" s="70"/>
      <c r="B463" s="27" t="s">
        <v>6</v>
      </c>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row>
    <row r="464" spans="1:29" ht="18" x14ac:dyDescent="0.2">
      <c r="A464" s="70"/>
      <c r="B464" s="27" t="s">
        <v>3</v>
      </c>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row>
    <row r="465" spans="1:29" ht="18" x14ac:dyDescent="0.2">
      <c r="A465" s="20" t="s">
        <v>0</v>
      </c>
      <c r="B465" s="21" t="s">
        <v>2</v>
      </c>
      <c r="C465" s="76" t="s">
        <v>13</v>
      </c>
      <c r="D465" s="76"/>
      <c r="E465" s="76"/>
      <c r="F465" s="76"/>
      <c r="G465" s="76"/>
      <c r="H465" s="76" t="s">
        <v>14</v>
      </c>
      <c r="I465" s="76"/>
      <c r="J465" s="76"/>
      <c r="K465" s="76"/>
      <c r="L465" s="76" t="s">
        <v>15</v>
      </c>
      <c r="M465" s="76"/>
      <c r="N465" s="76"/>
      <c r="O465" s="76"/>
      <c r="P465" s="76" t="s">
        <v>16</v>
      </c>
      <c r="Q465" s="76"/>
      <c r="R465" s="76"/>
      <c r="S465" s="76"/>
      <c r="T465" s="76"/>
      <c r="U465" s="76" t="s">
        <v>17</v>
      </c>
      <c r="V465" s="76"/>
      <c r="W465" s="76"/>
      <c r="X465" s="76"/>
      <c r="Y465" s="76" t="s">
        <v>18</v>
      </c>
      <c r="Z465" s="76"/>
      <c r="AA465" s="76"/>
      <c r="AB465" s="76"/>
      <c r="AC465" s="76"/>
    </row>
    <row r="466" spans="1:29" ht="18" x14ac:dyDescent="0.2">
      <c r="A466" s="20" t="s">
        <v>1</v>
      </c>
      <c r="B466" s="24" t="s">
        <v>3</v>
      </c>
      <c r="C466" s="35" t="str">
        <f t="shared" ref="C466:AC466" si="29">C376</f>
        <v>1-6</v>
      </c>
      <c r="D466" s="35" t="str">
        <f t="shared" si="29"/>
        <v>7-13</v>
      </c>
      <c r="E466" s="35" t="str">
        <f t="shared" si="29"/>
        <v>14-20</v>
      </c>
      <c r="F466" s="35" t="str">
        <f t="shared" si="29"/>
        <v>21-27</v>
      </c>
      <c r="G466" s="35" t="str">
        <f t="shared" si="29"/>
        <v>28-31</v>
      </c>
      <c r="H466" s="35" t="str">
        <f t="shared" si="29"/>
        <v>1-10</v>
      </c>
      <c r="I466" s="35" t="str">
        <f t="shared" si="29"/>
        <v>11-17</v>
      </c>
      <c r="J466" s="35" t="str">
        <f t="shared" si="29"/>
        <v>18-24</v>
      </c>
      <c r="K466" s="35" t="str">
        <f t="shared" si="29"/>
        <v>25-31</v>
      </c>
      <c r="L466" s="35" t="str">
        <f t="shared" si="29"/>
        <v>1-7</v>
      </c>
      <c r="M466" s="35" t="str">
        <f t="shared" si="29"/>
        <v>8-14</v>
      </c>
      <c r="N466" s="35" t="str">
        <f t="shared" si="29"/>
        <v>15-21</v>
      </c>
      <c r="O466" s="35" t="str">
        <f t="shared" si="29"/>
        <v>22-30</v>
      </c>
      <c r="P466" s="35" t="str">
        <f t="shared" si="29"/>
        <v>1-5</v>
      </c>
      <c r="Q466" s="35" t="str">
        <f t="shared" si="29"/>
        <v>6-12</v>
      </c>
      <c r="R466" s="35" t="str">
        <f t="shared" si="29"/>
        <v>13-19</v>
      </c>
      <c r="S466" s="35" t="str">
        <f t="shared" si="29"/>
        <v>20-26</v>
      </c>
      <c r="T466" s="35" t="str">
        <f t="shared" si="29"/>
        <v>27-31</v>
      </c>
      <c r="U466" s="35" t="str">
        <f t="shared" si="29"/>
        <v>1-9</v>
      </c>
      <c r="V466" s="35" t="str">
        <f t="shared" si="29"/>
        <v>10-16</v>
      </c>
      <c r="W466" s="35" t="str">
        <f t="shared" si="29"/>
        <v>17-23</v>
      </c>
      <c r="X466" s="35" t="str">
        <f t="shared" si="29"/>
        <v>24-30</v>
      </c>
      <c r="Y466" s="35" t="str">
        <f t="shared" si="29"/>
        <v>1-7</v>
      </c>
      <c r="Z466" s="35" t="str">
        <f t="shared" si="29"/>
        <v>8-14</v>
      </c>
      <c r="AA466" s="35" t="str">
        <f t="shared" si="29"/>
        <v>15-21</v>
      </c>
      <c r="AB466" s="35" t="str">
        <f t="shared" si="29"/>
        <v>22-28</v>
      </c>
      <c r="AC466" s="35" t="str">
        <f t="shared" si="29"/>
        <v>29-31</v>
      </c>
    </row>
    <row r="467" spans="1:29" ht="18" x14ac:dyDescent="0.2">
      <c r="A467" s="34"/>
      <c r="B467" s="26" t="s">
        <v>4</v>
      </c>
      <c r="C467" s="22" t="s">
        <v>12</v>
      </c>
      <c r="D467" s="22" t="s">
        <v>12</v>
      </c>
      <c r="E467" s="22" t="s">
        <v>12</v>
      </c>
      <c r="F467" s="22" t="s">
        <v>12</v>
      </c>
      <c r="G467" s="22" t="s">
        <v>12</v>
      </c>
      <c r="H467" s="22" t="s">
        <v>12</v>
      </c>
      <c r="I467" s="22" t="s">
        <v>12</v>
      </c>
      <c r="J467" s="22" t="s">
        <v>12</v>
      </c>
      <c r="K467" s="22" t="s">
        <v>12</v>
      </c>
      <c r="L467" s="22" t="s">
        <v>12</v>
      </c>
      <c r="M467" s="22" t="s">
        <v>12</v>
      </c>
      <c r="N467" s="22" t="s">
        <v>12</v>
      </c>
      <c r="O467" s="22" t="s">
        <v>12</v>
      </c>
      <c r="P467" s="22" t="s">
        <v>12</v>
      </c>
      <c r="Q467" s="22" t="s">
        <v>12</v>
      </c>
      <c r="R467" s="22" t="s">
        <v>12</v>
      </c>
      <c r="S467" s="22" t="s">
        <v>12</v>
      </c>
      <c r="T467" s="22" t="s">
        <v>12</v>
      </c>
      <c r="U467" s="22" t="s">
        <v>12</v>
      </c>
      <c r="V467" s="22" t="s">
        <v>12</v>
      </c>
      <c r="W467" s="22" t="s">
        <v>12</v>
      </c>
      <c r="X467" s="22" t="s">
        <v>12</v>
      </c>
      <c r="Y467" s="22" t="s">
        <v>12</v>
      </c>
      <c r="Z467" s="22" t="s">
        <v>12</v>
      </c>
      <c r="AA467" s="22" t="s">
        <v>12</v>
      </c>
      <c r="AB467" s="22" t="s">
        <v>12</v>
      </c>
      <c r="AC467" s="22" t="s">
        <v>12</v>
      </c>
    </row>
    <row r="468" spans="1:29" ht="18.75" customHeight="1" x14ac:dyDescent="0.2">
      <c r="A468" s="94" t="s">
        <v>303</v>
      </c>
      <c r="B468" s="27" t="s">
        <v>5</v>
      </c>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row>
    <row r="469" spans="1:29" ht="18" x14ac:dyDescent="0.2">
      <c r="A469" s="95"/>
      <c r="B469" s="27" t="s">
        <v>6</v>
      </c>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row>
    <row r="470" spans="1:29" ht="18" x14ac:dyDescent="0.2">
      <c r="A470" s="96"/>
      <c r="B470" s="27" t="s">
        <v>3</v>
      </c>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row>
    <row r="471" spans="1:29" ht="18.75" customHeight="1" x14ac:dyDescent="0.2">
      <c r="A471" s="70" t="s">
        <v>304</v>
      </c>
      <c r="B471" s="27" t="s">
        <v>5</v>
      </c>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row>
    <row r="472" spans="1:29" ht="18" x14ac:dyDescent="0.2">
      <c r="A472" s="70"/>
      <c r="B472" s="27" t="s">
        <v>6</v>
      </c>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row>
    <row r="473" spans="1:29" ht="18" x14ac:dyDescent="0.2">
      <c r="A473" s="70"/>
      <c r="B473" s="27" t="s">
        <v>3</v>
      </c>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row>
    <row r="474" spans="1:29" ht="18" customHeight="1" x14ac:dyDescent="0.2">
      <c r="A474" s="70" t="s">
        <v>305</v>
      </c>
      <c r="B474" s="27" t="s">
        <v>5</v>
      </c>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2"/>
      <c r="AC474" s="28"/>
    </row>
    <row r="475" spans="1:29" ht="18" x14ac:dyDescent="0.2">
      <c r="A475" s="70"/>
      <c r="B475" s="27" t="s">
        <v>6</v>
      </c>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row>
    <row r="476" spans="1:29" ht="18" x14ac:dyDescent="0.2">
      <c r="A476" s="70"/>
      <c r="B476" s="27" t="s">
        <v>3</v>
      </c>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row>
    <row r="477" spans="1:29" ht="18" x14ac:dyDescent="0.4">
      <c r="A477" s="4" t="s">
        <v>219</v>
      </c>
      <c r="B477" s="4"/>
      <c r="C477" s="4"/>
      <c r="D477" s="4"/>
      <c r="E477" s="4"/>
      <c r="F477" s="4"/>
      <c r="G477" s="4"/>
      <c r="H477" s="4"/>
      <c r="I477" s="4"/>
      <c r="J477" s="4"/>
      <c r="K477" s="4"/>
      <c r="L477" s="4"/>
      <c r="M477" s="4"/>
      <c r="N477" s="4"/>
      <c r="O477" s="4"/>
      <c r="P477" s="4"/>
      <c r="Q477" s="4"/>
      <c r="R477" s="4"/>
      <c r="S477" s="4"/>
      <c r="T477" s="4"/>
      <c r="U477" s="4"/>
      <c r="V477" s="4"/>
      <c r="W477" s="71" t="s">
        <v>173</v>
      </c>
      <c r="X477" s="71"/>
      <c r="Y477" s="71"/>
      <c r="Z477" s="71"/>
      <c r="AA477" s="71"/>
      <c r="AB477" s="71"/>
      <c r="AC477" s="71"/>
    </row>
    <row r="478" spans="1:29" ht="18" x14ac:dyDescent="0.4">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spans="1:29" ht="18" x14ac:dyDescent="0.4">
      <c r="A479" s="9"/>
      <c r="B479" s="9"/>
      <c r="C479" s="9"/>
      <c r="D479" s="9"/>
      <c r="E479" s="9"/>
      <c r="F479" s="9"/>
      <c r="G479" s="9"/>
      <c r="H479" s="9"/>
      <c r="I479" s="9"/>
      <c r="J479" s="9"/>
      <c r="K479" s="9"/>
      <c r="L479" s="9"/>
      <c r="M479" s="9"/>
      <c r="N479" s="9"/>
      <c r="O479" s="9"/>
      <c r="P479" s="72" t="s">
        <v>28</v>
      </c>
      <c r="Q479" s="72"/>
      <c r="R479" s="73" t="str">
        <f>R449</f>
        <v>พีรวัส</v>
      </c>
      <c r="S479" s="73"/>
      <c r="T479" s="73"/>
      <c r="U479" s="72" t="s">
        <v>30</v>
      </c>
      <c r="V479" s="72"/>
      <c r="W479" s="73" t="str">
        <f>W449</f>
        <v>วรพงศ์</v>
      </c>
      <c r="X479" s="73"/>
      <c r="Y479" s="73"/>
      <c r="Z479" s="8" t="s">
        <v>29</v>
      </c>
      <c r="AA479" s="74">
        <f>AA449</f>
        <v>46021</v>
      </c>
      <c r="AB479" s="74"/>
      <c r="AC479" s="74"/>
    </row>
    <row r="480" spans="1:29" ht="18" x14ac:dyDescent="0.4">
      <c r="A480" s="4"/>
      <c r="B480" s="4"/>
      <c r="C480" s="4"/>
      <c r="D480" s="4"/>
      <c r="E480" s="4"/>
      <c r="F480" s="4"/>
      <c r="G480" s="4"/>
      <c r="H480" s="4"/>
      <c r="I480" s="4"/>
      <c r="J480" s="4"/>
      <c r="K480" s="4"/>
      <c r="L480" s="4"/>
      <c r="M480" s="4"/>
      <c r="N480" s="4"/>
      <c r="O480" s="4"/>
      <c r="P480" s="12"/>
      <c r="Q480" s="12"/>
      <c r="R480" s="10"/>
      <c r="S480" s="10"/>
      <c r="T480" s="10"/>
      <c r="U480" s="12"/>
      <c r="V480" s="12"/>
      <c r="W480" s="10"/>
      <c r="X480" s="10"/>
      <c r="Y480" s="10"/>
      <c r="Z480" s="12"/>
      <c r="AA480" s="13"/>
      <c r="AB480" s="13"/>
      <c r="AC480" s="13"/>
    </row>
    <row r="481" spans="1:29" ht="23.25" x14ac:dyDescent="0.5">
      <c r="A481" s="80" t="s">
        <v>26</v>
      </c>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80"/>
    </row>
    <row r="482" spans="1:29" ht="21" x14ac:dyDescent="0.45">
      <c r="A482" s="6" t="s">
        <v>22</v>
      </c>
      <c r="B482" s="81" t="s">
        <v>307</v>
      </c>
      <c r="C482" s="81"/>
      <c r="D482" s="81"/>
      <c r="E482" s="81"/>
      <c r="F482" s="81"/>
      <c r="G482" s="81"/>
      <c r="H482" s="6" t="s">
        <v>24</v>
      </c>
      <c r="I482" s="82" t="s">
        <v>12</v>
      </c>
      <c r="J482" s="82"/>
      <c r="K482" s="82"/>
      <c r="L482" s="82"/>
      <c r="M482" s="83" t="s">
        <v>25</v>
      </c>
      <c r="N482" s="83"/>
      <c r="O482" s="81" t="s">
        <v>310</v>
      </c>
      <c r="P482" s="81"/>
      <c r="Q482" s="81"/>
      <c r="R482" s="81"/>
      <c r="S482" s="81"/>
      <c r="T482" s="6" t="s">
        <v>20</v>
      </c>
      <c r="U482" s="81">
        <f>$U$2</f>
        <v>2569</v>
      </c>
      <c r="V482" s="81"/>
      <c r="W482" s="83" t="s">
        <v>35</v>
      </c>
      <c r="X482" s="83"/>
      <c r="Y482" s="83"/>
      <c r="Z482" s="1" t="s">
        <v>202</v>
      </c>
      <c r="AA482" s="1"/>
      <c r="AB482" s="1"/>
      <c r="AC482" s="1"/>
    </row>
    <row r="483" spans="1:29" ht="18" x14ac:dyDescent="0.2">
      <c r="A483" s="20" t="s">
        <v>0</v>
      </c>
      <c r="B483" s="21" t="s">
        <v>2</v>
      </c>
      <c r="C483" s="75" t="s">
        <v>32</v>
      </c>
      <c r="D483" s="75"/>
      <c r="E483" s="75"/>
      <c r="F483" s="75"/>
      <c r="G483" s="75"/>
      <c r="H483" s="75" t="s">
        <v>7</v>
      </c>
      <c r="I483" s="75"/>
      <c r="J483" s="75"/>
      <c r="K483" s="75"/>
      <c r="L483" s="77" t="s">
        <v>8</v>
      </c>
      <c r="M483" s="78"/>
      <c r="N483" s="78"/>
      <c r="O483" s="79"/>
      <c r="P483" s="77" t="s">
        <v>9</v>
      </c>
      <c r="Q483" s="78"/>
      <c r="R483" s="78"/>
      <c r="S483" s="78"/>
      <c r="T483" s="79"/>
      <c r="U483" s="75" t="s">
        <v>10</v>
      </c>
      <c r="V483" s="75"/>
      <c r="W483" s="75"/>
      <c r="X483" s="75"/>
      <c r="Y483" s="75"/>
      <c r="Z483" s="75" t="s">
        <v>11</v>
      </c>
      <c r="AA483" s="75"/>
      <c r="AB483" s="75"/>
      <c r="AC483" s="75"/>
    </row>
    <row r="484" spans="1:29" ht="18" x14ac:dyDescent="0.2">
      <c r="A484" s="23" t="s">
        <v>1</v>
      </c>
      <c r="B484" s="24" t="s">
        <v>3</v>
      </c>
      <c r="C484" s="28" t="str">
        <f t="shared" ref="C484:AC484" si="30">C424</f>
        <v>1-5</v>
      </c>
      <c r="D484" s="28" t="str">
        <f t="shared" si="30"/>
        <v>6-12</v>
      </c>
      <c r="E484" s="28" t="str">
        <f t="shared" si="30"/>
        <v>13-19</v>
      </c>
      <c r="F484" s="28" t="str">
        <f t="shared" si="30"/>
        <v>20-26</v>
      </c>
      <c r="G484" s="28" t="str">
        <f t="shared" si="30"/>
        <v>27-31</v>
      </c>
      <c r="H484" s="28" t="str">
        <f t="shared" si="30"/>
        <v>1-9</v>
      </c>
      <c r="I484" s="28" t="str">
        <f t="shared" si="30"/>
        <v>10-16</v>
      </c>
      <c r="J484" s="28" t="str">
        <f t="shared" si="30"/>
        <v>17-23</v>
      </c>
      <c r="K484" s="28" t="str">
        <f t="shared" si="30"/>
        <v>24-28</v>
      </c>
      <c r="L484" s="28" t="str">
        <f t="shared" si="30"/>
        <v>1-9</v>
      </c>
      <c r="M484" s="28" t="str">
        <f t="shared" si="30"/>
        <v>10-16</v>
      </c>
      <c r="N484" s="28" t="str">
        <f t="shared" si="30"/>
        <v>17-23</v>
      </c>
      <c r="O484" s="28" t="str">
        <f t="shared" si="30"/>
        <v>24-31</v>
      </c>
      <c r="P484" s="28" t="str">
        <f t="shared" si="30"/>
        <v>1-6</v>
      </c>
      <c r="Q484" s="28" t="str">
        <f t="shared" si="30"/>
        <v>7-13</v>
      </c>
      <c r="R484" s="28" t="str">
        <f t="shared" si="30"/>
        <v>14-20</v>
      </c>
      <c r="S484" s="28" t="str">
        <f t="shared" si="30"/>
        <v>21-27</v>
      </c>
      <c r="T484" s="28" t="str">
        <f t="shared" si="30"/>
        <v>28-30</v>
      </c>
      <c r="U484" s="28" t="str">
        <f t="shared" si="30"/>
        <v>1-4</v>
      </c>
      <c r="V484" s="28" t="str">
        <f t="shared" si="30"/>
        <v>5-11</v>
      </c>
      <c r="W484" s="28" t="str">
        <f t="shared" si="30"/>
        <v>12-18</v>
      </c>
      <c r="X484" s="28" t="str">
        <f t="shared" si="30"/>
        <v>19-25</v>
      </c>
      <c r="Y484" s="28" t="str">
        <f t="shared" si="30"/>
        <v>26-31</v>
      </c>
      <c r="Z484" s="28" t="str">
        <f t="shared" si="30"/>
        <v>1-8</v>
      </c>
      <c r="AA484" s="28" t="str">
        <f t="shared" si="30"/>
        <v>9-15</v>
      </c>
      <c r="AB484" s="28" t="str">
        <f t="shared" si="30"/>
        <v>16-22</v>
      </c>
      <c r="AC484" s="28" t="str">
        <f t="shared" si="30"/>
        <v>23-30</v>
      </c>
    </row>
    <row r="485" spans="1:29" ht="18" x14ac:dyDescent="0.2">
      <c r="A485" s="25"/>
      <c r="B485" s="26" t="s">
        <v>4</v>
      </c>
      <c r="C485" s="22" t="s">
        <v>12</v>
      </c>
      <c r="D485" s="22" t="s">
        <v>12</v>
      </c>
      <c r="E485" s="22" t="s">
        <v>12</v>
      </c>
      <c r="F485" s="22" t="s">
        <v>12</v>
      </c>
      <c r="G485" s="22" t="s">
        <v>12</v>
      </c>
      <c r="H485" s="22" t="s">
        <v>12</v>
      </c>
      <c r="I485" s="22" t="s">
        <v>12</v>
      </c>
      <c r="J485" s="22" t="s">
        <v>12</v>
      </c>
      <c r="K485" s="22" t="s">
        <v>12</v>
      </c>
      <c r="L485" s="22" t="s">
        <v>12</v>
      </c>
      <c r="M485" s="22" t="s">
        <v>12</v>
      </c>
      <c r="N485" s="22" t="s">
        <v>12</v>
      </c>
      <c r="O485" s="22" t="s">
        <v>12</v>
      </c>
      <c r="P485" s="22" t="s">
        <v>12</v>
      </c>
      <c r="Q485" s="22" t="s">
        <v>12</v>
      </c>
      <c r="R485" s="22" t="s">
        <v>12</v>
      </c>
      <c r="S485" s="22" t="s">
        <v>12</v>
      </c>
      <c r="T485" s="22" t="s">
        <v>12</v>
      </c>
      <c r="U485" s="22" t="s">
        <v>12</v>
      </c>
      <c r="V485" s="22" t="s">
        <v>12</v>
      </c>
      <c r="W485" s="22" t="s">
        <v>12</v>
      </c>
      <c r="X485" s="22" t="s">
        <v>12</v>
      </c>
      <c r="Y485" s="22" t="s">
        <v>12</v>
      </c>
      <c r="Z485" s="22" t="s">
        <v>12</v>
      </c>
      <c r="AA485" s="22" t="s">
        <v>12</v>
      </c>
      <c r="AB485" s="22" t="s">
        <v>12</v>
      </c>
      <c r="AC485" s="22" t="s">
        <v>12</v>
      </c>
    </row>
    <row r="486" spans="1:29" ht="18.75" customHeight="1" x14ac:dyDescent="0.2">
      <c r="A486" s="70" t="s">
        <v>299</v>
      </c>
      <c r="B486" s="27" t="s">
        <v>5</v>
      </c>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row>
    <row r="487" spans="1:29" ht="18" x14ac:dyDescent="0.2">
      <c r="A487" s="70"/>
      <c r="B487" s="27" t="s">
        <v>6</v>
      </c>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row>
    <row r="488" spans="1:29" ht="18" x14ac:dyDescent="0.2">
      <c r="A488" s="70"/>
      <c r="B488" s="27" t="s">
        <v>3</v>
      </c>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row>
    <row r="489" spans="1:29" ht="18.75" customHeight="1" x14ac:dyDescent="0.2">
      <c r="A489" s="70"/>
      <c r="B489" s="27" t="s">
        <v>5</v>
      </c>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row>
    <row r="490" spans="1:29" ht="18" x14ac:dyDescent="0.2">
      <c r="A490" s="70"/>
      <c r="B490" s="27" t="s">
        <v>6</v>
      </c>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row>
    <row r="491" spans="1:29" ht="18" x14ac:dyDescent="0.2">
      <c r="A491" s="70"/>
      <c r="B491" s="27" t="s">
        <v>3</v>
      </c>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row>
    <row r="492" spans="1:29" ht="18" x14ac:dyDescent="0.2">
      <c r="A492" s="70"/>
      <c r="B492" s="27" t="s">
        <v>5</v>
      </c>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2"/>
      <c r="AC492" s="28"/>
    </row>
    <row r="493" spans="1:29" ht="18" x14ac:dyDescent="0.2">
      <c r="A493" s="70"/>
      <c r="B493" s="27" t="s">
        <v>6</v>
      </c>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row>
    <row r="494" spans="1:29" ht="18" x14ac:dyDescent="0.2">
      <c r="A494" s="70"/>
      <c r="B494" s="27" t="s">
        <v>3</v>
      </c>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row>
    <row r="495" spans="1:29" ht="18" x14ac:dyDescent="0.2">
      <c r="A495" s="20" t="s">
        <v>0</v>
      </c>
      <c r="B495" s="21" t="s">
        <v>2</v>
      </c>
      <c r="C495" s="76" t="s">
        <v>13</v>
      </c>
      <c r="D495" s="76"/>
      <c r="E495" s="76"/>
      <c r="F495" s="76"/>
      <c r="G495" s="76"/>
      <c r="H495" s="76" t="s">
        <v>14</v>
      </c>
      <c r="I495" s="76"/>
      <c r="J495" s="76"/>
      <c r="K495" s="76"/>
      <c r="L495" s="76" t="s">
        <v>15</v>
      </c>
      <c r="M495" s="76"/>
      <c r="N495" s="76"/>
      <c r="O495" s="76"/>
      <c r="P495" s="76" t="s">
        <v>16</v>
      </c>
      <c r="Q495" s="76"/>
      <c r="R495" s="76"/>
      <c r="S495" s="76"/>
      <c r="T495" s="76"/>
      <c r="U495" s="76" t="s">
        <v>17</v>
      </c>
      <c r="V495" s="76"/>
      <c r="W495" s="76"/>
      <c r="X495" s="76"/>
      <c r="Y495" s="76" t="s">
        <v>18</v>
      </c>
      <c r="Z495" s="76"/>
      <c r="AA495" s="76"/>
      <c r="AB495" s="76"/>
      <c r="AC495" s="76"/>
    </row>
    <row r="496" spans="1:29" ht="18" x14ac:dyDescent="0.2">
      <c r="A496" s="20" t="s">
        <v>1</v>
      </c>
      <c r="B496" s="24" t="s">
        <v>3</v>
      </c>
      <c r="C496" s="35" t="str">
        <f t="shared" ref="C496:AC496" si="31">C376</f>
        <v>1-6</v>
      </c>
      <c r="D496" s="35" t="str">
        <f t="shared" si="31"/>
        <v>7-13</v>
      </c>
      <c r="E496" s="35" t="str">
        <f t="shared" si="31"/>
        <v>14-20</v>
      </c>
      <c r="F496" s="35" t="str">
        <f t="shared" si="31"/>
        <v>21-27</v>
      </c>
      <c r="G496" s="35" t="str">
        <f t="shared" si="31"/>
        <v>28-31</v>
      </c>
      <c r="H496" s="35" t="str">
        <f t="shared" si="31"/>
        <v>1-10</v>
      </c>
      <c r="I496" s="35" t="str">
        <f t="shared" si="31"/>
        <v>11-17</v>
      </c>
      <c r="J496" s="35" t="str">
        <f t="shared" si="31"/>
        <v>18-24</v>
      </c>
      <c r="K496" s="35" t="str">
        <f t="shared" si="31"/>
        <v>25-31</v>
      </c>
      <c r="L496" s="35" t="str">
        <f t="shared" si="31"/>
        <v>1-7</v>
      </c>
      <c r="M496" s="35" t="str">
        <f t="shared" si="31"/>
        <v>8-14</v>
      </c>
      <c r="N496" s="35" t="str">
        <f t="shared" si="31"/>
        <v>15-21</v>
      </c>
      <c r="O496" s="35" t="str">
        <f t="shared" si="31"/>
        <v>22-30</v>
      </c>
      <c r="P496" s="35" t="str">
        <f t="shared" si="31"/>
        <v>1-5</v>
      </c>
      <c r="Q496" s="35" t="str">
        <f t="shared" si="31"/>
        <v>6-12</v>
      </c>
      <c r="R496" s="35" t="str">
        <f t="shared" si="31"/>
        <v>13-19</v>
      </c>
      <c r="S496" s="35" t="str">
        <f t="shared" si="31"/>
        <v>20-26</v>
      </c>
      <c r="T496" s="35" t="str">
        <f t="shared" si="31"/>
        <v>27-31</v>
      </c>
      <c r="U496" s="35" t="str">
        <f t="shared" si="31"/>
        <v>1-9</v>
      </c>
      <c r="V496" s="35" t="str">
        <f t="shared" si="31"/>
        <v>10-16</v>
      </c>
      <c r="W496" s="35" t="str">
        <f t="shared" si="31"/>
        <v>17-23</v>
      </c>
      <c r="X496" s="35" t="str">
        <f t="shared" si="31"/>
        <v>24-30</v>
      </c>
      <c r="Y496" s="35" t="str">
        <f t="shared" si="31"/>
        <v>1-7</v>
      </c>
      <c r="Z496" s="35" t="str">
        <f t="shared" si="31"/>
        <v>8-14</v>
      </c>
      <c r="AA496" s="35" t="str">
        <f t="shared" si="31"/>
        <v>15-21</v>
      </c>
      <c r="AB496" s="35" t="str">
        <f t="shared" si="31"/>
        <v>22-28</v>
      </c>
      <c r="AC496" s="35" t="str">
        <f t="shared" si="31"/>
        <v>29-31</v>
      </c>
    </row>
    <row r="497" spans="1:29" ht="18" x14ac:dyDescent="0.2">
      <c r="A497" s="34"/>
      <c r="B497" s="26" t="s">
        <v>4</v>
      </c>
      <c r="C497" s="22" t="s">
        <v>12</v>
      </c>
      <c r="D497" s="22" t="s">
        <v>12</v>
      </c>
      <c r="E497" s="22" t="s">
        <v>12</v>
      </c>
      <c r="F497" s="22" t="s">
        <v>12</v>
      </c>
      <c r="G497" s="22" t="s">
        <v>12</v>
      </c>
      <c r="H497" s="22" t="s">
        <v>12</v>
      </c>
      <c r="I497" s="22" t="s">
        <v>12</v>
      </c>
      <c r="J497" s="22" t="s">
        <v>12</v>
      </c>
      <c r="K497" s="22" t="s">
        <v>12</v>
      </c>
      <c r="L497" s="22" t="s">
        <v>12</v>
      </c>
      <c r="M497" s="22" t="s">
        <v>12</v>
      </c>
      <c r="N497" s="22" t="s">
        <v>12</v>
      </c>
      <c r="O497" s="22" t="s">
        <v>12</v>
      </c>
      <c r="P497" s="22" t="s">
        <v>12</v>
      </c>
      <c r="Q497" s="22" t="s">
        <v>12</v>
      </c>
      <c r="R497" s="22" t="s">
        <v>12</v>
      </c>
      <c r="S497" s="22" t="s">
        <v>12</v>
      </c>
      <c r="T497" s="22" t="s">
        <v>12</v>
      </c>
      <c r="U497" s="22" t="s">
        <v>12</v>
      </c>
      <c r="V497" s="22" t="s">
        <v>12</v>
      </c>
      <c r="W497" s="22" t="s">
        <v>12</v>
      </c>
      <c r="X497" s="22" t="s">
        <v>12</v>
      </c>
      <c r="Y497" s="22" t="s">
        <v>12</v>
      </c>
      <c r="Z497" s="22" t="s">
        <v>12</v>
      </c>
      <c r="AA497" s="22" t="s">
        <v>12</v>
      </c>
      <c r="AB497" s="22" t="s">
        <v>12</v>
      </c>
      <c r="AC497" s="22" t="s">
        <v>12</v>
      </c>
    </row>
    <row r="498" spans="1:29" ht="18.75" customHeight="1" x14ac:dyDescent="0.2">
      <c r="A498" s="70" t="s">
        <v>299</v>
      </c>
      <c r="B498" s="27" t="s">
        <v>5</v>
      </c>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row>
    <row r="499" spans="1:29" ht="18" x14ac:dyDescent="0.2">
      <c r="A499" s="70"/>
      <c r="B499" s="27" t="s">
        <v>6</v>
      </c>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row>
    <row r="500" spans="1:29" ht="18" x14ac:dyDescent="0.2">
      <c r="A500" s="70"/>
      <c r="B500" s="27" t="s">
        <v>3</v>
      </c>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row>
    <row r="501" spans="1:29" ht="18.75" customHeight="1" x14ac:dyDescent="0.2">
      <c r="A501" s="70"/>
      <c r="B501" s="27" t="s">
        <v>5</v>
      </c>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row>
    <row r="502" spans="1:29" ht="18" x14ac:dyDescent="0.2">
      <c r="A502" s="70"/>
      <c r="B502" s="27" t="s">
        <v>6</v>
      </c>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row>
    <row r="503" spans="1:29" ht="18" x14ac:dyDescent="0.2">
      <c r="A503" s="70"/>
      <c r="B503" s="27" t="s">
        <v>3</v>
      </c>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row>
    <row r="504" spans="1:29" ht="18" x14ac:dyDescent="0.2">
      <c r="A504" s="70"/>
      <c r="B504" s="27" t="s">
        <v>5</v>
      </c>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2"/>
      <c r="AC504" s="28"/>
    </row>
    <row r="505" spans="1:29" ht="18" x14ac:dyDescent="0.2">
      <c r="A505" s="70"/>
      <c r="B505" s="27" t="s">
        <v>6</v>
      </c>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row>
    <row r="506" spans="1:29" ht="18" x14ac:dyDescent="0.2">
      <c r="A506" s="70"/>
      <c r="B506" s="27" t="s">
        <v>3</v>
      </c>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row>
    <row r="507" spans="1:29" ht="18" x14ac:dyDescent="0.4">
      <c r="A507" s="4" t="s">
        <v>219</v>
      </c>
      <c r="B507" s="4"/>
      <c r="C507" s="4"/>
      <c r="D507" s="4"/>
      <c r="E507" s="4"/>
      <c r="F507" s="4"/>
      <c r="G507" s="4"/>
      <c r="H507" s="4"/>
      <c r="I507" s="4"/>
      <c r="J507" s="4"/>
      <c r="K507" s="4"/>
      <c r="L507" s="4"/>
      <c r="M507" s="4"/>
      <c r="N507" s="4"/>
      <c r="O507" s="4"/>
      <c r="P507" s="4"/>
      <c r="Q507" s="4"/>
      <c r="R507" s="4"/>
      <c r="S507" s="4"/>
      <c r="T507" s="4"/>
      <c r="U507" s="4"/>
      <c r="V507" s="4"/>
      <c r="W507" s="71" t="s">
        <v>173</v>
      </c>
      <c r="X507" s="71"/>
      <c r="Y507" s="71"/>
      <c r="Z507" s="71"/>
      <c r="AA507" s="71"/>
      <c r="AB507" s="71"/>
      <c r="AC507" s="71"/>
    </row>
    <row r="508" spans="1:29" ht="18" x14ac:dyDescent="0.4">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spans="1:29" ht="18" x14ac:dyDescent="0.4">
      <c r="A509" s="9"/>
      <c r="B509" s="9"/>
      <c r="C509" s="9"/>
      <c r="D509" s="9"/>
      <c r="E509" s="9"/>
      <c r="F509" s="9"/>
      <c r="G509" s="9"/>
      <c r="H509" s="9"/>
      <c r="I509" s="9"/>
      <c r="J509" s="9"/>
      <c r="K509" s="9"/>
      <c r="L509" s="9"/>
      <c r="M509" s="9"/>
      <c r="N509" s="9"/>
      <c r="O509" s="9"/>
      <c r="P509" s="72" t="s">
        <v>28</v>
      </c>
      <c r="Q509" s="72"/>
      <c r="R509" s="73" t="str">
        <f>R479</f>
        <v>พีรวัส</v>
      </c>
      <c r="S509" s="73"/>
      <c r="T509" s="73"/>
      <c r="U509" s="72" t="s">
        <v>30</v>
      </c>
      <c r="V509" s="72"/>
      <c r="W509" s="73" t="str">
        <f>W479</f>
        <v>วรพงศ์</v>
      </c>
      <c r="X509" s="73"/>
      <c r="Y509" s="73"/>
      <c r="Z509" s="8" t="s">
        <v>29</v>
      </c>
      <c r="AA509" s="74">
        <f>AA479</f>
        <v>46021</v>
      </c>
      <c r="AB509" s="74"/>
      <c r="AC509" s="74"/>
    </row>
    <row r="510" spans="1:29" ht="18" x14ac:dyDescent="0.4">
      <c r="A510" s="4"/>
      <c r="B510" s="4"/>
      <c r="C510" s="4"/>
      <c r="D510" s="4"/>
      <c r="E510" s="4"/>
      <c r="F510" s="4"/>
      <c r="G510" s="4"/>
      <c r="H510" s="4"/>
      <c r="I510" s="4"/>
      <c r="J510" s="4"/>
      <c r="K510" s="4"/>
      <c r="L510" s="4"/>
      <c r="M510" s="4"/>
      <c r="N510" s="4"/>
      <c r="O510" s="4"/>
      <c r="P510" s="12"/>
      <c r="Q510" s="12"/>
      <c r="R510" s="10"/>
      <c r="S510" s="10"/>
      <c r="T510" s="10"/>
      <c r="U510" s="12"/>
      <c r="V510" s="12"/>
      <c r="W510" s="10"/>
      <c r="X510" s="10"/>
      <c r="Y510" s="10"/>
      <c r="Z510" s="12"/>
      <c r="AA510" s="13"/>
      <c r="AB510" s="13"/>
      <c r="AC510" s="13"/>
    </row>
    <row r="511" spans="1:29" ht="23.25" x14ac:dyDescent="0.5">
      <c r="A511" s="80" t="s">
        <v>26</v>
      </c>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80"/>
    </row>
    <row r="512" spans="1:29" ht="21.75" thickBot="1" x14ac:dyDescent="0.5">
      <c r="A512" s="6" t="s">
        <v>22</v>
      </c>
      <c r="B512" s="89" t="s">
        <v>85</v>
      </c>
      <c r="C512" s="89"/>
      <c r="D512" s="89"/>
      <c r="E512" s="89"/>
      <c r="F512" s="89"/>
      <c r="G512" s="89"/>
      <c r="H512" s="6" t="s">
        <v>24</v>
      </c>
      <c r="I512" s="90" t="s">
        <v>12</v>
      </c>
      <c r="J512" s="90"/>
      <c r="K512" s="90"/>
      <c r="L512" s="90"/>
      <c r="M512" s="91" t="s">
        <v>25</v>
      </c>
      <c r="N512" s="91"/>
      <c r="O512" s="89" t="s">
        <v>84</v>
      </c>
      <c r="P512" s="89"/>
      <c r="Q512" s="89"/>
      <c r="R512" s="89"/>
      <c r="S512" s="89"/>
      <c r="T512" s="6" t="s">
        <v>20</v>
      </c>
      <c r="U512" s="81">
        <f>$U$2</f>
        <v>2569</v>
      </c>
      <c r="V512" s="81"/>
      <c r="W512" s="91" t="s">
        <v>35</v>
      </c>
      <c r="X512" s="91"/>
      <c r="Y512" s="91"/>
      <c r="Z512" s="5" t="s">
        <v>202</v>
      </c>
      <c r="AA512" s="5"/>
      <c r="AB512" s="5"/>
      <c r="AC512" s="5"/>
    </row>
    <row r="513" spans="1:29" ht="18" x14ac:dyDescent="0.2">
      <c r="A513" s="20" t="s">
        <v>0</v>
      </c>
      <c r="B513" s="21" t="s">
        <v>2</v>
      </c>
      <c r="C513" s="75" t="s">
        <v>32</v>
      </c>
      <c r="D513" s="75"/>
      <c r="E513" s="75"/>
      <c r="F513" s="75"/>
      <c r="G513" s="75"/>
      <c r="H513" s="75" t="s">
        <v>7</v>
      </c>
      <c r="I513" s="75"/>
      <c r="J513" s="75"/>
      <c r="K513" s="75"/>
      <c r="L513" s="77" t="s">
        <v>8</v>
      </c>
      <c r="M513" s="78"/>
      <c r="N513" s="78"/>
      <c r="O513" s="79"/>
      <c r="P513" s="77" t="s">
        <v>9</v>
      </c>
      <c r="Q513" s="78"/>
      <c r="R513" s="78"/>
      <c r="S513" s="78"/>
      <c r="T513" s="79"/>
      <c r="U513" s="75" t="s">
        <v>10</v>
      </c>
      <c r="V513" s="75"/>
      <c r="W513" s="75"/>
      <c r="X513" s="75"/>
      <c r="Y513" s="75"/>
      <c r="Z513" s="75" t="s">
        <v>11</v>
      </c>
      <c r="AA513" s="75"/>
      <c r="AB513" s="75"/>
      <c r="AC513" s="75"/>
    </row>
    <row r="514" spans="1:29" ht="18" x14ac:dyDescent="0.2">
      <c r="A514" s="23" t="s">
        <v>1</v>
      </c>
      <c r="B514" s="24" t="s">
        <v>3</v>
      </c>
      <c r="C514" s="28" t="str">
        <f t="shared" ref="C514:AC514" si="32">C424</f>
        <v>1-5</v>
      </c>
      <c r="D514" s="28" t="str">
        <f t="shared" si="32"/>
        <v>6-12</v>
      </c>
      <c r="E514" s="28" t="str">
        <f t="shared" si="32"/>
        <v>13-19</v>
      </c>
      <c r="F514" s="28" t="str">
        <f t="shared" si="32"/>
        <v>20-26</v>
      </c>
      <c r="G514" s="28" t="str">
        <f t="shared" si="32"/>
        <v>27-31</v>
      </c>
      <c r="H514" s="28" t="str">
        <f t="shared" si="32"/>
        <v>1-9</v>
      </c>
      <c r="I514" s="28" t="str">
        <f t="shared" si="32"/>
        <v>10-16</v>
      </c>
      <c r="J514" s="28" t="str">
        <f t="shared" si="32"/>
        <v>17-23</v>
      </c>
      <c r="K514" s="28" t="str">
        <f t="shared" si="32"/>
        <v>24-28</v>
      </c>
      <c r="L514" s="28" t="str">
        <f t="shared" si="32"/>
        <v>1-9</v>
      </c>
      <c r="M514" s="28" t="str">
        <f t="shared" si="32"/>
        <v>10-16</v>
      </c>
      <c r="N514" s="28" t="str">
        <f t="shared" si="32"/>
        <v>17-23</v>
      </c>
      <c r="O514" s="28" t="str">
        <f t="shared" si="32"/>
        <v>24-31</v>
      </c>
      <c r="P514" s="28" t="str">
        <f t="shared" si="32"/>
        <v>1-6</v>
      </c>
      <c r="Q514" s="28" t="str">
        <f t="shared" si="32"/>
        <v>7-13</v>
      </c>
      <c r="R514" s="28" t="str">
        <f t="shared" si="32"/>
        <v>14-20</v>
      </c>
      <c r="S514" s="28" t="str">
        <f t="shared" si="32"/>
        <v>21-27</v>
      </c>
      <c r="T514" s="28" t="str">
        <f t="shared" si="32"/>
        <v>28-30</v>
      </c>
      <c r="U514" s="28" t="str">
        <f t="shared" si="32"/>
        <v>1-4</v>
      </c>
      <c r="V514" s="28" t="str">
        <f t="shared" si="32"/>
        <v>5-11</v>
      </c>
      <c r="W514" s="28" t="str">
        <f t="shared" si="32"/>
        <v>12-18</v>
      </c>
      <c r="X514" s="28" t="str">
        <f t="shared" si="32"/>
        <v>19-25</v>
      </c>
      <c r="Y514" s="28" t="str">
        <f t="shared" si="32"/>
        <v>26-31</v>
      </c>
      <c r="Z514" s="28" t="str">
        <f t="shared" si="32"/>
        <v>1-8</v>
      </c>
      <c r="AA514" s="28" t="str">
        <f t="shared" si="32"/>
        <v>9-15</v>
      </c>
      <c r="AB514" s="28" t="str">
        <f t="shared" si="32"/>
        <v>16-22</v>
      </c>
      <c r="AC514" s="28" t="str">
        <f t="shared" si="32"/>
        <v>23-30</v>
      </c>
    </row>
    <row r="515" spans="1:29" ht="18" x14ac:dyDescent="0.2">
      <c r="A515" s="25"/>
      <c r="B515" s="26" t="s">
        <v>4</v>
      </c>
      <c r="C515" s="22" t="s">
        <v>12</v>
      </c>
      <c r="D515" s="22" t="s">
        <v>12</v>
      </c>
      <c r="E515" s="22" t="s">
        <v>12</v>
      </c>
      <c r="F515" s="22" t="s">
        <v>12</v>
      </c>
      <c r="G515" s="22" t="s">
        <v>12</v>
      </c>
      <c r="H515" s="22" t="s">
        <v>12</v>
      </c>
      <c r="I515" s="22" t="s">
        <v>12</v>
      </c>
      <c r="J515" s="22" t="s">
        <v>12</v>
      </c>
      <c r="K515" s="22" t="s">
        <v>12</v>
      </c>
      <c r="L515" s="22" t="s">
        <v>12</v>
      </c>
      <c r="M515" s="22" t="s">
        <v>12</v>
      </c>
      <c r="N515" s="22" t="s">
        <v>12</v>
      </c>
      <c r="O515" s="22" t="s">
        <v>12</v>
      </c>
      <c r="P515" s="22" t="s">
        <v>12</v>
      </c>
      <c r="Q515" s="22" t="s">
        <v>12</v>
      </c>
      <c r="R515" s="22" t="s">
        <v>12</v>
      </c>
      <c r="S515" s="22" t="s">
        <v>12</v>
      </c>
      <c r="T515" s="22" t="s">
        <v>12</v>
      </c>
      <c r="U515" s="22" t="s">
        <v>12</v>
      </c>
      <c r="V515" s="22" t="s">
        <v>12</v>
      </c>
      <c r="W515" s="22" t="s">
        <v>12</v>
      </c>
      <c r="X515" s="22" t="s">
        <v>12</v>
      </c>
      <c r="Y515" s="22" t="s">
        <v>12</v>
      </c>
      <c r="Z515" s="22" t="s">
        <v>12</v>
      </c>
      <c r="AA515" s="22" t="s">
        <v>12</v>
      </c>
      <c r="AB515" s="22" t="s">
        <v>12</v>
      </c>
      <c r="AC515" s="22" t="s">
        <v>12</v>
      </c>
    </row>
    <row r="516" spans="1:29" ht="18.75" customHeight="1" x14ac:dyDescent="0.2">
      <c r="A516" s="70" t="s">
        <v>300</v>
      </c>
      <c r="B516" s="27" t="s">
        <v>5</v>
      </c>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t="s">
        <v>306</v>
      </c>
      <c r="AB516" s="28"/>
      <c r="AC516" s="28"/>
    </row>
    <row r="517" spans="1:29" ht="18" x14ac:dyDescent="0.2">
      <c r="A517" s="70"/>
      <c r="B517" s="27" t="s">
        <v>6</v>
      </c>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row>
    <row r="518" spans="1:29" ht="18" x14ac:dyDescent="0.2">
      <c r="A518" s="70"/>
      <c r="B518" s="27" t="s">
        <v>3</v>
      </c>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row>
    <row r="519" spans="1:29" ht="18.75" customHeight="1" x14ac:dyDescent="0.2">
      <c r="A519" s="70"/>
      <c r="B519" s="27" t="s">
        <v>5</v>
      </c>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row>
    <row r="520" spans="1:29" ht="18" x14ac:dyDescent="0.2">
      <c r="A520" s="70"/>
      <c r="B520" s="27" t="s">
        <v>6</v>
      </c>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row>
    <row r="521" spans="1:29" ht="18" x14ac:dyDescent="0.2">
      <c r="A521" s="70"/>
      <c r="B521" s="27" t="s">
        <v>3</v>
      </c>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row>
    <row r="522" spans="1:29" ht="18" x14ac:dyDescent="0.2">
      <c r="A522" s="70"/>
      <c r="B522" s="27" t="s">
        <v>5</v>
      </c>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2"/>
      <c r="AC522" s="28"/>
    </row>
    <row r="523" spans="1:29" ht="18" x14ac:dyDescent="0.2">
      <c r="A523" s="70"/>
      <c r="B523" s="27" t="s">
        <v>6</v>
      </c>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row>
    <row r="524" spans="1:29" ht="18" x14ac:dyDescent="0.2">
      <c r="A524" s="70"/>
      <c r="B524" s="27" t="s">
        <v>3</v>
      </c>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row>
    <row r="525" spans="1:29" ht="18" x14ac:dyDescent="0.2">
      <c r="A525" s="20" t="s">
        <v>0</v>
      </c>
      <c r="B525" s="21" t="s">
        <v>2</v>
      </c>
      <c r="C525" s="76" t="s">
        <v>13</v>
      </c>
      <c r="D525" s="76"/>
      <c r="E525" s="76"/>
      <c r="F525" s="76"/>
      <c r="G525" s="76"/>
      <c r="H525" s="76" t="s">
        <v>14</v>
      </c>
      <c r="I525" s="76"/>
      <c r="J525" s="76"/>
      <c r="K525" s="76"/>
      <c r="L525" s="76" t="s">
        <v>15</v>
      </c>
      <c r="M525" s="76"/>
      <c r="N525" s="76"/>
      <c r="O525" s="76"/>
      <c r="P525" s="76" t="s">
        <v>16</v>
      </c>
      <c r="Q525" s="76"/>
      <c r="R525" s="76"/>
      <c r="S525" s="76"/>
      <c r="T525" s="76"/>
      <c r="U525" s="76" t="s">
        <v>17</v>
      </c>
      <c r="V525" s="76"/>
      <c r="W525" s="76"/>
      <c r="X525" s="76"/>
      <c r="Y525" s="76" t="s">
        <v>18</v>
      </c>
      <c r="Z525" s="76"/>
      <c r="AA525" s="76"/>
      <c r="AB525" s="76"/>
      <c r="AC525" s="76"/>
    </row>
    <row r="526" spans="1:29" ht="18" x14ac:dyDescent="0.2">
      <c r="A526" s="20" t="s">
        <v>1</v>
      </c>
      <c r="B526" s="24" t="s">
        <v>3</v>
      </c>
      <c r="C526" s="35" t="str">
        <f t="shared" ref="C526:AC526" si="33">C376</f>
        <v>1-6</v>
      </c>
      <c r="D526" s="35" t="str">
        <f t="shared" si="33"/>
        <v>7-13</v>
      </c>
      <c r="E526" s="35" t="str">
        <f t="shared" si="33"/>
        <v>14-20</v>
      </c>
      <c r="F526" s="35" t="str">
        <f t="shared" si="33"/>
        <v>21-27</v>
      </c>
      <c r="G526" s="35" t="str">
        <f t="shared" si="33"/>
        <v>28-31</v>
      </c>
      <c r="H526" s="35" t="str">
        <f t="shared" si="33"/>
        <v>1-10</v>
      </c>
      <c r="I526" s="35" t="str">
        <f t="shared" si="33"/>
        <v>11-17</v>
      </c>
      <c r="J526" s="35" t="str">
        <f t="shared" si="33"/>
        <v>18-24</v>
      </c>
      <c r="K526" s="35" t="str">
        <f t="shared" si="33"/>
        <v>25-31</v>
      </c>
      <c r="L526" s="35" t="str">
        <f t="shared" si="33"/>
        <v>1-7</v>
      </c>
      <c r="M526" s="35" t="str">
        <f t="shared" si="33"/>
        <v>8-14</v>
      </c>
      <c r="N526" s="35" t="str">
        <f t="shared" si="33"/>
        <v>15-21</v>
      </c>
      <c r="O526" s="35" t="str">
        <f t="shared" si="33"/>
        <v>22-30</v>
      </c>
      <c r="P526" s="35" t="str">
        <f t="shared" si="33"/>
        <v>1-5</v>
      </c>
      <c r="Q526" s="35" t="str">
        <f t="shared" si="33"/>
        <v>6-12</v>
      </c>
      <c r="R526" s="35" t="str">
        <f t="shared" si="33"/>
        <v>13-19</v>
      </c>
      <c r="S526" s="35" t="str">
        <f t="shared" si="33"/>
        <v>20-26</v>
      </c>
      <c r="T526" s="35" t="str">
        <f t="shared" si="33"/>
        <v>27-31</v>
      </c>
      <c r="U526" s="35" t="str">
        <f t="shared" si="33"/>
        <v>1-9</v>
      </c>
      <c r="V526" s="35" t="str">
        <f t="shared" si="33"/>
        <v>10-16</v>
      </c>
      <c r="W526" s="35" t="str">
        <f t="shared" si="33"/>
        <v>17-23</v>
      </c>
      <c r="X526" s="35" t="str">
        <f t="shared" si="33"/>
        <v>24-30</v>
      </c>
      <c r="Y526" s="35" t="str">
        <f t="shared" si="33"/>
        <v>1-7</v>
      </c>
      <c r="Z526" s="35" t="str">
        <f t="shared" si="33"/>
        <v>8-14</v>
      </c>
      <c r="AA526" s="35" t="str">
        <f t="shared" si="33"/>
        <v>15-21</v>
      </c>
      <c r="AB526" s="35" t="str">
        <f t="shared" si="33"/>
        <v>22-28</v>
      </c>
      <c r="AC526" s="35" t="str">
        <f t="shared" si="33"/>
        <v>29-31</v>
      </c>
    </row>
    <row r="527" spans="1:29" ht="18" x14ac:dyDescent="0.2">
      <c r="A527" s="34"/>
      <c r="B527" s="26" t="s">
        <v>4</v>
      </c>
      <c r="C527" s="22" t="s">
        <v>12</v>
      </c>
      <c r="D527" s="22" t="s">
        <v>12</v>
      </c>
      <c r="E527" s="22" t="s">
        <v>12</v>
      </c>
      <c r="F527" s="22" t="s">
        <v>12</v>
      </c>
      <c r="G527" s="22" t="s">
        <v>12</v>
      </c>
      <c r="H527" s="22" t="s">
        <v>12</v>
      </c>
      <c r="I527" s="22" t="s">
        <v>12</v>
      </c>
      <c r="J527" s="22" t="s">
        <v>12</v>
      </c>
      <c r="K527" s="22" t="s">
        <v>12</v>
      </c>
      <c r="L527" s="22" t="s">
        <v>12</v>
      </c>
      <c r="M527" s="22" t="s">
        <v>12</v>
      </c>
      <c r="N527" s="22" t="s">
        <v>12</v>
      </c>
      <c r="O527" s="22" t="s">
        <v>12</v>
      </c>
      <c r="P527" s="22" t="s">
        <v>12</v>
      </c>
      <c r="Q527" s="22" t="s">
        <v>12</v>
      </c>
      <c r="R527" s="22" t="s">
        <v>12</v>
      </c>
      <c r="S527" s="22" t="s">
        <v>12</v>
      </c>
      <c r="T527" s="22" t="s">
        <v>12</v>
      </c>
      <c r="U527" s="22" t="s">
        <v>12</v>
      </c>
      <c r="V527" s="22" t="s">
        <v>12</v>
      </c>
      <c r="W527" s="22" t="s">
        <v>12</v>
      </c>
      <c r="X527" s="22" t="s">
        <v>12</v>
      </c>
      <c r="Y527" s="22" t="s">
        <v>12</v>
      </c>
      <c r="Z527" s="22" t="s">
        <v>12</v>
      </c>
      <c r="AA527" s="22" t="s">
        <v>12</v>
      </c>
      <c r="AB527" s="22" t="s">
        <v>12</v>
      </c>
      <c r="AC527" s="22" t="s">
        <v>12</v>
      </c>
    </row>
    <row r="528" spans="1:29" ht="18.75" customHeight="1" x14ac:dyDescent="0.2">
      <c r="A528" s="70" t="s">
        <v>300</v>
      </c>
      <c r="B528" s="27" t="s">
        <v>5</v>
      </c>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row>
    <row r="529" spans="1:29" ht="18" x14ac:dyDescent="0.2">
      <c r="A529" s="70"/>
      <c r="B529" s="27" t="s">
        <v>6</v>
      </c>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row>
    <row r="530" spans="1:29" ht="18" x14ac:dyDescent="0.2">
      <c r="A530" s="70"/>
      <c r="B530" s="27" t="s">
        <v>3</v>
      </c>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row>
    <row r="531" spans="1:29" ht="18.75" customHeight="1" x14ac:dyDescent="0.2">
      <c r="A531" s="70"/>
      <c r="B531" s="27" t="s">
        <v>5</v>
      </c>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row>
    <row r="532" spans="1:29" ht="18" x14ac:dyDescent="0.2">
      <c r="A532" s="70"/>
      <c r="B532" s="27" t="s">
        <v>6</v>
      </c>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row>
    <row r="533" spans="1:29" ht="18" x14ac:dyDescent="0.2">
      <c r="A533" s="70"/>
      <c r="B533" s="27" t="s">
        <v>3</v>
      </c>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row>
    <row r="534" spans="1:29" ht="18" x14ac:dyDescent="0.2">
      <c r="A534" s="70"/>
      <c r="B534" s="27" t="s">
        <v>5</v>
      </c>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2"/>
      <c r="AC534" s="28"/>
    </row>
    <row r="535" spans="1:29" ht="18" x14ac:dyDescent="0.2">
      <c r="A535" s="70"/>
      <c r="B535" s="27" t="s">
        <v>6</v>
      </c>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row>
    <row r="536" spans="1:29" ht="18" x14ac:dyDescent="0.2">
      <c r="A536" s="70"/>
      <c r="B536" s="27" t="s">
        <v>3</v>
      </c>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row>
    <row r="537" spans="1:29" ht="18" x14ac:dyDescent="0.4">
      <c r="A537" s="4" t="s">
        <v>219</v>
      </c>
      <c r="B537" s="4"/>
      <c r="C537" s="4"/>
      <c r="D537" s="4"/>
      <c r="E537" s="4"/>
      <c r="F537" s="4"/>
      <c r="G537" s="4"/>
      <c r="H537" s="4"/>
      <c r="I537" s="4"/>
      <c r="J537" s="4"/>
      <c r="K537" s="4"/>
      <c r="L537" s="4"/>
      <c r="M537" s="4"/>
      <c r="N537" s="4"/>
      <c r="O537" s="4"/>
      <c r="P537" s="4"/>
      <c r="Q537" s="4"/>
      <c r="R537" s="4"/>
      <c r="S537" s="4"/>
      <c r="T537" s="4"/>
      <c r="U537" s="4"/>
      <c r="V537" s="4"/>
      <c r="W537" s="71" t="s">
        <v>173</v>
      </c>
      <c r="X537" s="71"/>
      <c r="Y537" s="71"/>
      <c r="Z537" s="71"/>
      <c r="AA537" s="71"/>
      <c r="AB537" s="71"/>
      <c r="AC537" s="71"/>
    </row>
    <row r="538" spans="1:29" ht="18" x14ac:dyDescent="0.4">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spans="1:29" ht="18" x14ac:dyDescent="0.4">
      <c r="A539" s="9"/>
      <c r="B539" s="9"/>
      <c r="C539" s="9"/>
      <c r="D539" s="9"/>
      <c r="E539" s="9"/>
      <c r="F539" s="9"/>
      <c r="G539" s="9"/>
      <c r="H539" s="9"/>
      <c r="I539" s="9"/>
      <c r="J539" s="9"/>
      <c r="K539" s="9"/>
      <c r="L539" s="9"/>
      <c r="M539" s="9"/>
      <c r="N539" s="9"/>
      <c r="O539" s="9"/>
      <c r="P539" s="72" t="s">
        <v>28</v>
      </c>
      <c r="Q539" s="72"/>
      <c r="R539" s="73" t="str">
        <f>R479</f>
        <v>พีรวัส</v>
      </c>
      <c r="S539" s="73"/>
      <c r="T539" s="73"/>
      <c r="U539" s="72" t="s">
        <v>30</v>
      </c>
      <c r="V539" s="72"/>
      <c r="W539" s="73" t="str">
        <f>W479</f>
        <v>วรพงศ์</v>
      </c>
      <c r="X539" s="73"/>
      <c r="Y539" s="73"/>
      <c r="Z539" s="8" t="s">
        <v>29</v>
      </c>
      <c r="AA539" s="74">
        <f>AA479</f>
        <v>46021</v>
      </c>
      <c r="AB539" s="74"/>
      <c r="AC539" s="74"/>
    </row>
    <row r="540" spans="1:29" ht="18" x14ac:dyDescent="0.4">
      <c r="A540" s="4"/>
      <c r="B540" s="4"/>
      <c r="C540" s="4"/>
      <c r="D540" s="4"/>
      <c r="E540" s="4"/>
      <c r="F540" s="4"/>
      <c r="G540" s="4"/>
      <c r="H540" s="4"/>
      <c r="I540" s="4"/>
      <c r="J540" s="4"/>
      <c r="K540" s="4"/>
      <c r="L540" s="4"/>
      <c r="M540" s="4"/>
      <c r="N540" s="4"/>
      <c r="O540" s="4"/>
      <c r="P540" s="12"/>
      <c r="Q540" s="12"/>
      <c r="R540" s="10"/>
      <c r="S540" s="10"/>
      <c r="T540" s="10"/>
      <c r="U540" s="12"/>
      <c r="V540" s="12"/>
      <c r="W540" s="10"/>
      <c r="X540" s="10"/>
      <c r="Y540" s="10"/>
      <c r="Z540" s="12"/>
      <c r="AA540" s="13"/>
      <c r="AB540" s="13"/>
      <c r="AC540" s="13"/>
    </row>
    <row r="541" spans="1:29" ht="23.25" x14ac:dyDescent="0.5">
      <c r="A541" s="80" t="s">
        <v>26</v>
      </c>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row>
    <row r="542" spans="1:29" ht="21.75" thickBot="1" x14ac:dyDescent="0.5">
      <c r="A542" s="6" t="s">
        <v>22</v>
      </c>
      <c r="B542" s="89" t="s">
        <v>309</v>
      </c>
      <c r="C542" s="89"/>
      <c r="D542" s="89"/>
      <c r="E542" s="89"/>
      <c r="F542" s="89"/>
      <c r="G542" s="89"/>
      <c r="H542" s="6" t="s">
        <v>24</v>
      </c>
      <c r="I542" s="90" t="s">
        <v>12</v>
      </c>
      <c r="J542" s="90"/>
      <c r="K542" s="90"/>
      <c r="L542" s="90"/>
      <c r="M542" s="91" t="s">
        <v>25</v>
      </c>
      <c r="N542" s="91"/>
      <c r="O542" s="89" t="s">
        <v>308</v>
      </c>
      <c r="P542" s="89"/>
      <c r="Q542" s="89"/>
      <c r="R542" s="89"/>
      <c r="S542" s="89"/>
      <c r="T542" s="6" t="s">
        <v>20</v>
      </c>
      <c r="U542" s="81">
        <f>$U$2</f>
        <v>2569</v>
      </c>
      <c r="V542" s="81"/>
      <c r="W542" s="91" t="s">
        <v>35</v>
      </c>
      <c r="X542" s="91"/>
      <c r="Y542" s="91"/>
      <c r="Z542" s="5" t="s">
        <v>202</v>
      </c>
      <c r="AA542" s="5"/>
      <c r="AB542" s="5"/>
      <c r="AC542" s="5"/>
    </row>
    <row r="543" spans="1:29" ht="18" x14ac:dyDescent="0.2">
      <c r="A543" s="20" t="s">
        <v>0</v>
      </c>
      <c r="B543" s="21" t="s">
        <v>2</v>
      </c>
      <c r="C543" s="75" t="s">
        <v>32</v>
      </c>
      <c r="D543" s="75"/>
      <c r="E543" s="75"/>
      <c r="F543" s="75"/>
      <c r="G543" s="75"/>
      <c r="H543" s="75" t="s">
        <v>7</v>
      </c>
      <c r="I543" s="75"/>
      <c r="J543" s="75"/>
      <c r="K543" s="75"/>
      <c r="L543" s="77" t="s">
        <v>8</v>
      </c>
      <c r="M543" s="78"/>
      <c r="N543" s="78"/>
      <c r="O543" s="79"/>
      <c r="P543" s="77" t="s">
        <v>9</v>
      </c>
      <c r="Q543" s="78"/>
      <c r="R543" s="78"/>
      <c r="S543" s="78"/>
      <c r="T543" s="79"/>
      <c r="U543" s="75" t="s">
        <v>10</v>
      </c>
      <c r="V543" s="75"/>
      <c r="W543" s="75"/>
      <c r="X543" s="75"/>
      <c r="Y543" s="75"/>
      <c r="Z543" s="75" t="s">
        <v>11</v>
      </c>
      <c r="AA543" s="75"/>
      <c r="AB543" s="75"/>
      <c r="AC543" s="75"/>
    </row>
    <row r="544" spans="1:29" ht="18" x14ac:dyDescent="0.2">
      <c r="A544" s="23" t="s">
        <v>1</v>
      </c>
      <c r="B544" s="24" t="s">
        <v>3</v>
      </c>
      <c r="C544" s="28" t="str">
        <f t="shared" ref="C544:AC544" si="34">C454</f>
        <v>1-5</v>
      </c>
      <c r="D544" s="28" t="str">
        <f t="shared" si="34"/>
        <v>6-12</v>
      </c>
      <c r="E544" s="28" t="str">
        <f t="shared" si="34"/>
        <v>13-19</v>
      </c>
      <c r="F544" s="28" t="str">
        <f t="shared" si="34"/>
        <v>20-26</v>
      </c>
      <c r="G544" s="28" t="str">
        <f t="shared" si="34"/>
        <v>27-31</v>
      </c>
      <c r="H544" s="28" t="str">
        <f t="shared" si="34"/>
        <v>1-9</v>
      </c>
      <c r="I544" s="28" t="str">
        <f t="shared" si="34"/>
        <v>10-16</v>
      </c>
      <c r="J544" s="28" t="str">
        <f t="shared" si="34"/>
        <v>17-23</v>
      </c>
      <c r="K544" s="28" t="str">
        <f t="shared" si="34"/>
        <v>24-28</v>
      </c>
      <c r="L544" s="28" t="str">
        <f t="shared" si="34"/>
        <v>1-9</v>
      </c>
      <c r="M544" s="28" t="str">
        <f t="shared" si="34"/>
        <v>10-16</v>
      </c>
      <c r="N544" s="28" t="str">
        <f t="shared" si="34"/>
        <v>17-23</v>
      </c>
      <c r="O544" s="28" t="str">
        <f t="shared" si="34"/>
        <v>24-31</v>
      </c>
      <c r="P544" s="28" t="str">
        <f t="shared" si="34"/>
        <v>1-6</v>
      </c>
      <c r="Q544" s="28" t="str">
        <f t="shared" si="34"/>
        <v>7-13</v>
      </c>
      <c r="R544" s="28" t="str">
        <f t="shared" si="34"/>
        <v>14-20</v>
      </c>
      <c r="S544" s="28" t="str">
        <f t="shared" si="34"/>
        <v>21-27</v>
      </c>
      <c r="T544" s="28" t="str">
        <f t="shared" si="34"/>
        <v>28-30</v>
      </c>
      <c r="U544" s="28" t="str">
        <f t="shared" si="34"/>
        <v>1-4</v>
      </c>
      <c r="V544" s="28" t="str">
        <f t="shared" si="34"/>
        <v>5-11</v>
      </c>
      <c r="W544" s="28" t="str">
        <f t="shared" si="34"/>
        <v>12-18</v>
      </c>
      <c r="X544" s="28" t="str">
        <f t="shared" si="34"/>
        <v>19-25</v>
      </c>
      <c r="Y544" s="28" t="str">
        <f t="shared" si="34"/>
        <v>26-31</v>
      </c>
      <c r="Z544" s="28" t="str">
        <f t="shared" si="34"/>
        <v>1-8</v>
      </c>
      <c r="AA544" s="28" t="str">
        <f t="shared" si="34"/>
        <v>9-15</v>
      </c>
      <c r="AB544" s="28" t="str">
        <f t="shared" si="34"/>
        <v>16-22</v>
      </c>
      <c r="AC544" s="28" t="str">
        <f t="shared" si="34"/>
        <v>23-30</v>
      </c>
    </row>
    <row r="545" spans="1:29" ht="18" x14ac:dyDescent="0.2">
      <c r="A545" s="25"/>
      <c r="B545" s="26" t="s">
        <v>4</v>
      </c>
      <c r="C545" s="22" t="s">
        <v>12</v>
      </c>
      <c r="D545" s="22" t="s">
        <v>12</v>
      </c>
      <c r="E545" s="22" t="s">
        <v>12</v>
      </c>
      <c r="F545" s="22" t="s">
        <v>12</v>
      </c>
      <c r="G545" s="22" t="s">
        <v>12</v>
      </c>
      <c r="H545" s="22" t="s">
        <v>12</v>
      </c>
      <c r="I545" s="22" t="s">
        <v>12</v>
      </c>
      <c r="J545" s="22" t="s">
        <v>12</v>
      </c>
      <c r="K545" s="22" t="s">
        <v>12</v>
      </c>
      <c r="L545" s="22" t="s">
        <v>12</v>
      </c>
      <c r="M545" s="22" t="s">
        <v>12</v>
      </c>
      <c r="N545" s="22" t="s">
        <v>12</v>
      </c>
      <c r="O545" s="22" t="s">
        <v>12</v>
      </c>
      <c r="P545" s="22" t="s">
        <v>12</v>
      </c>
      <c r="Q545" s="22" t="s">
        <v>12</v>
      </c>
      <c r="R545" s="22" t="s">
        <v>12</v>
      </c>
      <c r="S545" s="22" t="s">
        <v>12</v>
      </c>
      <c r="T545" s="22" t="s">
        <v>12</v>
      </c>
      <c r="U545" s="22" t="s">
        <v>12</v>
      </c>
      <c r="V545" s="22" t="s">
        <v>12</v>
      </c>
      <c r="W545" s="22" t="s">
        <v>12</v>
      </c>
      <c r="X545" s="22" t="s">
        <v>12</v>
      </c>
      <c r="Y545" s="22" t="s">
        <v>12</v>
      </c>
      <c r="Z545" s="22" t="s">
        <v>12</v>
      </c>
      <c r="AA545" s="22" t="s">
        <v>12</v>
      </c>
      <c r="AB545" s="22" t="s">
        <v>12</v>
      </c>
      <c r="AC545" s="22" t="s">
        <v>12</v>
      </c>
    </row>
    <row r="546" spans="1:29" ht="18.75" customHeight="1" x14ac:dyDescent="0.2">
      <c r="A546" s="70" t="s">
        <v>301</v>
      </c>
      <c r="B546" s="27" t="s">
        <v>5</v>
      </c>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row>
    <row r="547" spans="1:29" ht="18" x14ac:dyDescent="0.2">
      <c r="A547" s="70"/>
      <c r="B547" s="27" t="s">
        <v>6</v>
      </c>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row>
    <row r="548" spans="1:29" ht="18" x14ac:dyDescent="0.2">
      <c r="A548" s="70"/>
      <c r="B548" s="27" t="s">
        <v>3</v>
      </c>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row>
    <row r="549" spans="1:29" ht="18.75" customHeight="1" x14ac:dyDescent="0.2">
      <c r="A549" s="70"/>
      <c r="B549" s="27" t="s">
        <v>5</v>
      </c>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row>
    <row r="550" spans="1:29" ht="18" x14ac:dyDescent="0.2">
      <c r="A550" s="70"/>
      <c r="B550" s="27" t="s">
        <v>6</v>
      </c>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row>
    <row r="551" spans="1:29" ht="18" x14ac:dyDescent="0.2">
      <c r="A551" s="70"/>
      <c r="B551" s="27" t="s">
        <v>3</v>
      </c>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row>
    <row r="552" spans="1:29" ht="18" x14ac:dyDescent="0.2">
      <c r="A552" s="70"/>
      <c r="B552" s="27" t="s">
        <v>5</v>
      </c>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2"/>
      <c r="AC552" s="28"/>
    </row>
    <row r="553" spans="1:29" ht="18" x14ac:dyDescent="0.2">
      <c r="A553" s="70"/>
      <c r="B553" s="27" t="s">
        <v>6</v>
      </c>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row>
    <row r="554" spans="1:29" ht="18" x14ac:dyDescent="0.2">
      <c r="A554" s="70"/>
      <c r="B554" s="27" t="s">
        <v>3</v>
      </c>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row>
    <row r="555" spans="1:29" ht="18" x14ac:dyDescent="0.2">
      <c r="A555" s="20" t="s">
        <v>0</v>
      </c>
      <c r="B555" s="21" t="s">
        <v>2</v>
      </c>
      <c r="C555" s="76" t="s">
        <v>13</v>
      </c>
      <c r="D555" s="76"/>
      <c r="E555" s="76"/>
      <c r="F555" s="76"/>
      <c r="G555" s="76"/>
      <c r="H555" s="76" t="s">
        <v>14</v>
      </c>
      <c r="I555" s="76"/>
      <c r="J555" s="76"/>
      <c r="K555" s="76"/>
      <c r="L555" s="76" t="s">
        <v>15</v>
      </c>
      <c r="M555" s="76"/>
      <c r="N555" s="76"/>
      <c r="O555" s="76"/>
      <c r="P555" s="76" t="s">
        <v>16</v>
      </c>
      <c r="Q555" s="76"/>
      <c r="R555" s="76"/>
      <c r="S555" s="76"/>
      <c r="T555" s="76"/>
      <c r="U555" s="76" t="s">
        <v>17</v>
      </c>
      <c r="V555" s="76"/>
      <c r="W555" s="76"/>
      <c r="X555" s="76"/>
      <c r="Y555" s="76" t="s">
        <v>18</v>
      </c>
      <c r="Z555" s="76"/>
      <c r="AA555" s="76"/>
      <c r="AB555" s="76"/>
      <c r="AC555" s="76"/>
    </row>
    <row r="556" spans="1:29" ht="18" x14ac:dyDescent="0.2">
      <c r="A556" s="20" t="s">
        <v>1</v>
      </c>
      <c r="B556" s="24" t="s">
        <v>3</v>
      </c>
      <c r="C556" s="35" t="str">
        <f t="shared" ref="C556:AC556" si="35">C406</f>
        <v>1-6</v>
      </c>
      <c r="D556" s="35" t="str">
        <f t="shared" si="35"/>
        <v>7-13</v>
      </c>
      <c r="E556" s="35" t="str">
        <f t="shared" si="35"/>
        <v>14-20</v>
      </c>
      <c r="F556" s="35" t="str">
        <f t="shared" si="35"/>
        <v>21-27</v>
      </c>
      <c r="G556" s="35" t="str">
        <f t="shared" si="35"/>
        <v>28-31</v>
      </c>
      <c r="H556" s="35" t="str">
        <f t="shared" si="35"/>
        <v>1-10</v>
      </c>
      <c r="I556" s="35" t="str">
        <f t="shared" si="35"/>
        <v>11-17</v>
      </c>
      <c r="J556" s="35" t="str">
        <f t="shared" si="35"/>
        <v>18-24</v>
      </c>
      <c r="K556" s="35" t="str">
        <f t="shared" si="35"/>
        <v>25-31</v>
      </c>
      <c r="L556" s="35" t="str">
        <f t="shared" si="35"/>
        <v>1-7</v>
      </c>
      <c r="M556" s="35" t="str">
        <f t="shared" si="35"/>
        <v>8-14</v>
      </c>
      <c r="N556" s="35" t="str">
        <f t="shared" si="35"/>
        <v>15-21</v>
      </c>
      <c r="O556" s="35" t="str">
        <f t="shared" si="35"/>
        <v>22-30</v>
      </c>
      <c r="P556" s="35" t="str">
        <f t="shared" si="35"/>
        <v>1-5</v>
      </c>
      <c r="Q556" s="35" t="str">
        <f t="shared" si="35"/>
        <v>6-12</v>
      </c>
      <c r="R556" s="35" t="str">
        <f t="shared" si="35"/>
        <v>13-19</v>
      </c>
      <c r="S556" s="35" t="str">
        <f t="shared" si="35"/>
        <v>20-26</v>
      </c>
      <c r="T556" s="35" t="str">
        <f t="shared" si="35"/>
        <v>27-31</v>
      </c>
      <c r="U556" s="35" t="str">
        <f t="shared" si="35"/>
        <v>1-9</v>
      </c>
      <c r="V556" s="35" t="str">
        <f t="shared" si="35"/>
        <v>10-16</v>
      </c>
      <c r="W556" s="35" t="str">
        <f t="shared" si="35"/>
        <v>17-23</v>
      </c>
      <c r="X556" s="35" t="str">
        <f t="shared" si="35"/>
        <v>24-30</v>
      </c>
      <c r="Y556" s="35" t="str">
        <f t="shared" si="35"/>
        <v>1-7</v>
      </c>
      <c r="Z556" s="35" t="str">
        <f t="shared" si="35"/>
        <v>8-14</v>
      </c>
      <c r="AA556" s="35" t="str">
        <f t="shared" si="35"/>
        <v>15-21</v>
      </c>
      <c r="AB556" s="35" t="str">
        <f t="shared" si="35"/>
        <v>22-28</v>
      </c>
      <c r="AC556" s="35" t="str">
        <f t="shared" si="35"/>
        <v>29-31</v>
      </c>
    </row>
    <row r="557" spans="1:29" ht="18" x14ac:dyDescent="0.2">
      <c r="A557" s="34"/>
      <c r="B557" s="26" t="s">
        <v>4</v>
      </c>
      <c r="C557" s="22" t="s">
        <v>12</v>
      </c>
      <c r="D557" s="22" t="s">
        <v>12</v>
      </c>
      <c r="E557" s="22" t="s">
        <v>12</v>
      </c>
      <c r="F557" s="22" t="s">
        <v>12</v>
      </c>
      <c r="G557" s="22" t="s">
        <v>12</v>
      </c>
      <c r="H557" s="22" t="s">
        <v>12</v>
      </c>
      <c r="I557" s="22" t="s">
        <v>12</v>
      </c>
      <c r="J557" s="22" t="s">
        <v>12</v>
      </c>
      <c r="K557" s="22" t="s">
        <v>12</v>
      </c>
      <c r="L557" s="22" t="s">
        <v>12</v>
      </c>
      <c r="M557" s="22" t="s">
        <v>12</v>
      </c>
      <c r="N557" s="22" t="s">
        <v>12</v>
      </c>
      <c r="O557" s="22" t="s">
        <v>12</v>
      </c>
      <c r="P557" s="22" t="s">
        <v>12</v>
      </c>
      <c r="Q557" s="22" t="s">
        <v>12</v>
      </c>
      <c r="R557" s="22" t="s">
        <v>12</v>
      </c>
      <c r="S557" s="22" t="s">
        <v>12</v>
      </c>
      <c r="T557" s="22" t="s">
        <v>12</v>
      </c>
      <c r="U557" s="22" t="s">
        <v>12</v>
      </c>
      <c r="V557" s="22" t="s">
        <v>12</v>
      </c>
      <c r="W557" s="22" t="s">
        <v>12</v>
      </c>
      <c r="X557" s="22" t="s">
        <v>12</v>
      </c>
      <c r="Y557" s="22" t="s">
        <v>12</v>
      </c>
      <c r="Z557" s="22" t="s">
        <v>12</v>
      </c>
      <c r="AA557" s="22" t="s">
        <v>12</v>
      </c>
      <c r="AB557" s="22" t="s">
        <v>12</v>
      </c>
      <c r="AC557" s="22" t="s">
        <v>12</v>
      </c>
    </row>
    <row r="558" spans="1:29" ht="18.75" customHeight="1" x14ac:dyDescent="0.2">
      <c r="A558" s="70" t="s">
        <v>301</v>
      </c>
      <c r="B558" s="27" t="s">
        <v>5</v>
      </c>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row>
    <row r="559" spans="1:29" ht="18" x14ac:dyDescent="0.2">
      <c r="A559" s="70"/>
      <c r="B559" s="27" t="s">
        <v>6</v>
      </c>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row>
    <row r="560" spans="1:29" ht="18" x14ac:dyDescent="0.2">
      <c r="A560" s="70"/>
      <c r="B560" s="27" t="s">
        <v>3</v>
      </c>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row>
    <row r="561" spans="1:29" ht="18.75" customHeight="1" x14ac:dyDescent="0.2">
      <c r="A561" s="70"/>
      <c r="B561" s="27" t="s">
        <v>5</v>
      </c>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row>
    <row r="562" spans="1:29" ht="18" x14ac:dyDescent="0.2">
      <c r="A562" s="70"/>
      <c r="B562" s="27" t="s">
        <v>6</v>
      </c>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row>
    <row r="563" spans="1:29" ht="18" x14ac:dyDescent="0.2">
      <c r="A563" s="70"/>
      <c r="B563" s="27" t="s">
        <v>3</v>
      </c>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row>
    <row r="564" spans="1:29" ht="18" customHeight="1" x14ac:dyDescent="0.2">
      <c r="A564" s="70"/>
      <c r="B564" s="27" t="s">
        <v>5</v>
      </c>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2"/>
      <c r="AC564" s="28"/>
    </row>
    <row r="565" spans="1:29" ht="18" x14ac:dyDescent="0.2">
      <c r="A565" s="70"/>
      <c r="B565" s="27" t="s">
        <v>6</v>
      </c>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row>
    <row r="566" spans="1:29" ht="18" x14ac:dyDescent="0.2">
      <c r="A566" s="70"/>
      <c r="B566" s="27" t="s">
        <v>3</v>
      </c>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row>
    <row r="567" spans="1:29" ht="18" x14ac:dyDescent="0.4">
      <c r="A567" s="4" t="s">
        <v>219</v>
      </c>
      <c r="B567" s="4"/>
      <c r="C567" s="4"/>
      <c r="D567" s="4"/>
      <c r="E567" s="4"/>
      <c r="F567" s="4"/>
      <c r="G567" s="4"/>
      <c r="H567" s="4"/>
      <c r="I567" s="4"/>
      <c r="J567" s="4"/>
      <c r="K567" s="4"/>
      <c r="L567" s="4"/>
      <c r="M567" s="4"/>
      <c r="N567" s="4"/>
      <c r="O567" s="4"/>
      <c r="P567" s="4"/>
      <c r="Q567" s="4"/>
      <c r="R567" s="4"/>
      <c r="S567" s="4"/>
      <c r="T567" s="4"/>
      <c r="U567" s="4"/>
      <c r="V567" s="4"/>
      <c r="W567" s="71" t="s">
        <v>173</v>
      </c>
      <c r="X567" s="71"/>
      <c r="Y567" s="71"/>
      <c r="Z567" s="71"/>
      <c r="AA567" s="71"/>
      <c r="AB567" s="71"/>
      <c r="AC567" s="71"/>
    </row>
    <row r="568" spans="1:29" ht="18" x14ac:dyDescent="0.4">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spans="1:29" ht="18" x14ac:dyDescent="0.4">
      <c r="A569" s="9"/>
      <c r="B569" s="9"/>
      <c r="C569" s="9"/>
      <c r="D569" s="9"/>
      <c r="E569" s="9"/>
      <c r="F569" s="9"/>
      <c r="G569" s="9"/>
      <c r="H569" s="9"/>
      <c r="I569" s="9"/>
      <c r="J569" s="9"/>
      <c r="K569" s="9"/>
      <c r="L569" s="9"/>
      <c r="M569" s="9"/>
      <c r="N569" s="9"/>
      <c r="O569" s="9"/>
      <c r="P569" s="72" t="s">
        <v>28</v>
      </c>
      <c r="Q569" s="72"/>
      <c r="R569" s="73" t="str">
        <f>R509</f>
        <v>พีรวัส</v>
      </c>
      <c r="S569" s="73"/>
      <c r="T569" s="73"/>
      <c r="U569" s="72" t="s">
        <v>30</v>
      </c>
      <c r="V569" s="72"/>
      <c r="W569" s="73" t="str">
        <f>W509</f>
        <v>วรพงศ์</v>
      </c>
      <c r="X569" s="73"/>
      <c r="Y569" s="73"/>
      <c r="Z569" s="8" t="s">
        <v>29</v>
      </c>
      <c r="AA569" s="74">
        <f>AA509</f>
        <v>46021</v>
      </c>
      <c r="AB569" s="74"/>
      <c r="AC569" s="74"/>
    </row>
    <row r="570" spans="1:29" ht="18" x14ac:dyDescent="0.4">
      <c r="A570" s="4"/>
      <c r="B570" s="4"/>
      <c r="C570" s="4"/>
      <c r="D570" s="4"/>
      <c r="E570" s="4"/>
      <c r="F570" s="4"/>
      <c r="G570" s="4"/>
      <c r="H570" s="4"/>
      <c r="I570" s="4"/>
      <c r="J570" s="4"/>
      <c r="K570" s="4"/>
      <c r="L570" s="4"/>
      <c r="M570" s="4"/>
      <c r="N570" s="4"/>
      <c r="O570" s="4"/>
      <c r="P570" s="12"/>
      <c r="Q570" s="12"/>
      <c r="R570" s="10"/>
      <c r="S570" s="10"/>
      <c r="T570" s="10"/>
      <c r="U570" s="12"/>
      <c r="V570" s="12"/>
      <c r="W570" s="10"/>
      <c r="X570" s="10"/>
      <c r="Y570" s="10"/>
      <c r="Z570" s="12"/>
      <c r="AA570" s="13"/>
      <c r="AB570" s="13"/>
      <c r="AC570" s="13"/>
    </row>
    <row r="571" spans="1:29" ht="23.25" x14ac:dyDescent="0.5">
      <c r="A571" s="80" t="s">
        <v>26</v>
      </c>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row>
    <row r="572" spans="1:29" ht="21" x14ac:dyDescent="0.45">
      <c r="A572" s="6" t="s">
        <v>22</v>
      </c>
      <c r="B572" s="81" t="s">
        <v>86</v>
      </c>
      <c r="C572" s="81"/>
      <c r="D572" s="81"/>
      <c r="E572" s="81"/>
      <c r="F572" s="81"/>
      <c r="G572" s="81"/>
      <c r="H572" s="6" t="s">
        <v>24</v>
      </c>
      <c r="I572" s="82" t="s">
        <v>87</v>
      </c>
      <c r="J572" s="82"/>
      <c r="K572" s="82"/>
      <c r="L572" s="82"/>
      <c r="M572" s="83" t="s">
        <v>25</v>
      </c>
      <c r="N572" s="83"/>
      <c r="O572" s="81" t="s">
        <v>88</v>
      </c>
      <c r="P572" s="81"/>
      <c r="Q572" s="81"/>
      <c r="R572" s="81"/>
      <c r="S572" s="81"/>
      <c r="T572" s="6" t="s">
        <v>20</v>
      </c>
      <c r="U572" s="81">
        <f>$U$2</f>
        <v>2569</v>
      </c>
      <c r="V572" s="81"/>
      <c r="W572" s="83" t="s">
        <v>35</v>
      </c>
      <c r="X572" s="83"/>
      <c r="Y572" s="83"/>
      <c r="Z572" s="4" t="s">
        <v>203</v>
      </c>
      <c r="AA572" s="1"/>
      <c r="AB572" s="1"/>
      <c r="AC572" s="1"/>
    </row>
    <row r="573" spans="1:29" ht="18" x14ac:dyDescent="0.2">
      <c r="A573" s="20" t="s">
        <v>0</v>
      </c>
      <c r="B573" s="21" t="s">
        <v>2</v>
      </c>
      <c r="C573" s="75" t="s">
        <v>32</v>
      </c>
      <c r="D573" s="75"/>
      <c r="E573" s="75"/>
      <c r="F573" s="75"/>
      <c r="G573" s="75"/>
      <c r="H573" s="75" t="s">
        <v>7</v>
      </c>
      <c r="I573" s="75"/>
      <c r="J573" s="75"/>
      <c r="K573" s="75"/>
      <c r="L573" s="77" t="s">
        <v>8</v>
      </c>
      <c r="M573" s="78"/>
      <c r="N573" s="78"/>
      <c r="O573" s="79"/>
      <c r="P573" s="77" t="s">
        <v>9</v>
      </c>
      <c r="Q573" s="78"/>
      <c r="R573" s="78"/>
      <c r="S573" s="78"/>
      <c r="T573" s="79"/>
      <c r="U573" s="75" t="s">
        <v>10</v>
      </c>
      <c r="V573" s="75"/>
      <c r="W573" s="75"/>
      <c r="X573" s="75"/>
      <c r="Y573" s="75"/>
      <c r="Z573" s="75" t="s">
        <v>11</v>
      </c>
      <c r="AA573" s="75"/>
      <c r="AB573" s="75"/>
      <c r="AC573" s="75"/>
    </row>
    <row r="574" spans="1:29" ht="18" x14ac:dyDescent="0.2">
      <c r="A574" s="23" t="s">
        <v>1</v>
      </c>
      <c r="B574" s="24" t="s">
        <v>3</v>
      </c>
      <c r="C574" s="28" t="str">
        <f t="shared" ref="C574:AC574" si="36">C484</f>
        <v>1-5</v>
      </c>
      <c r="D574" s="28" t="str">
        <f t="shared" si="36"/>
        <v>6-12</v>
      </c>
      <c r="E574" s="28" t="str">
        <f t="shared" si="36"/>
        <v>13-19</v>
      </c>
      <c r="F574" s="28" t="str">
        <f t="shared" si="36"/>
        <v>20-26</v>
      </c>
      <c r="G574" s="28" t="str">
        <f t="shared" si="36"/>
        <v>27-31</v>
      </c>
      <c r="H574" s="28" t="str">
        <f t="shared" si="36"/>
        <v>1-9</v>
      </c>
      <c r="I574" s="28" t="str">
        <f t="shared" si="36"/>
        <v>10-16</v>
      </c>
      <c r="J574" s="28" t="str">
        <f t="shared" si="36"/>
        <v>17-23</v>
      </c>
      <c r="K574" s="28" t="str">
        <f t="shared" si="36"/>
        <v>24-28</v>
      </c>
      <c r="L574" s="28" t="str">
        <f t="shared" si="36"/>
        <v>1-9</v>
      </c>
      <c r="M574" s="28" t="str">
        <f t="shared" si="36"/>
        <v>10-16</v>
      </c>
      <c r="N574" s="28" t="str">
        <f t="shared" si="36"/>
        <v>17-23</v>
      </c>
      <c r="O574" s="28" t="str">
        <f t="shared" si="36"/>
        <v>24-31</v>
      </c>
      <c r="P574" s="28" t="str">
        <f t="shared" si="36"/>
        <v>1-6</v>
      </c>
      <c r="Q574" s="28" t="str">
        <f t="shared" si="36"/>
        <v>7-13</v>
      </c>
      <c r="R574" s="28" t="str">
        <f t="shared" si="36"/>
        <v>14-20</v>
      </c>
      <c r="S574" s="28" t="str">
        <f t="shared" si="36"/>
        <v>21-27</v>
      </c>
      <c r="T574" s="28" t="str">
        <f t="shared" si="36"/>
        <v>28-30</v>
      </c>
      <c r="U574" s="28" t="str">
        <f t="shared" si="36"/>
        <v>1-4</v>
      </c>
      <c r="V574" s="28" t="str">
        <f t="shared" si="36"/>
        <v>5-11</v>
      </c>
      <c r="W574" s="28" t="str">
        <f t="shared" si="36"/>
        <v>12-18</v>
      </c>
      <c r="X574" s="28" t="str">
        <f t="shared" si="36"/>
        <v>19-25</v>
      </c>
      <c r="Y574" s="28" t="str">
        <f t="shared" si="36"/>
        <v>26-31</v>
      </c>
      <c r="Z574" s="28" t="str">
        <f t="shared" si="36"/>
        <v>1-8</v>
      </c>
      <c r="AA574" s="28" t="str">
        <f t="shared" si="36"/>
        <v>9-15</v>
      </c>
      <c r="AB574" s="28" t="str">
        <f t="shared" si="36"/>
        <v>16-22</v>
      </c>
      <c r="AC574" s="28" t="str">
        <f t="shared" si="36"/>
        <v>23-30</v>
      </c>
    </row>
    <row r="575" spans="1:29" ht="18" x14ac:dyDescent="0.2">
      <c r="A575" s="25"/>
      <c r="B575" s="26" t="s">
        <v>4</v>
      </c>
      <c r="C575" s="22" t="s">
        <v>12</v>
      </c>
      <c r="D575" s="22" t="s">
        <v>12</v>
      </c>
      <c r="E575" s="22" t="s">
        <v>12</v>
      </c>
      <c r="F575" s="22" t="s">
        <v>12</v>
      </c>
      <c r="G575" s="22" t="s">
        <v>12</v>
      </c>
      <c r="H575" s="22" t="s">
        <v>12</v>
      </c>
      <c r="I575" s="22" t="s">
        <v>12</v>
      </c>
      <c r="J575" s="22" t="s">
        <v>12</v>
      </c>
      <c r="K575" s="22" t="s">
        <v>12</v>
      </c>
      <c r="L575" s="22" t="s">
        <v>12</v>
      </c>
      <c r="M575" s="22" t="s">
        <v>12</v>
      </c>
      <c r="N575" s="22" t="s">
        <v>12</v>
      </c>
      <c r="O575" s="22" t="s">
        <v>12</v>
      </c>
      <c r="P575" s="22" t="s">
        <v>12</v>
      </c>
      <c r="Q575" s="22" t="s">
        <v>12</v>
      </c>
      <c r="R575" s="22" t="s">
        <v>12</v>
      </c>
      <c r="S575" s="22" t="s">
        <v>12</v>
      </c>
      <c r="T575" s="22" t="s">
        <v>12</v>
      </c>
      <c r="U575" s="22" t="s">
        <v>12</v>
      </c>
      <c r="V575" s="22" t="s">
        <v>12</v>
      </c>
      <c r="W575" s="22" t="s">
        <v>12</v>
      </c>
      <c r="X575" s="22" t="s">
        <v>12</v>
      </c>
      <c r="Y575" s="22" t="s">
        <v>12</v>
      </c>
      <c r="Z575" s="22" t="s">
        <v>12</v>
      </c>
      <c r="AA575" s="22" t="s">
        <v>12</v>
      </c>
      <c r="AB575" s="22" t="s">
        <v>12</v>
      </c>
      <c r="AC575" s="22" t="s">
        <v>12</v>
      </c>
    </row>
    <row r="576" spans="1:29" ht="18.75" customHeight="1" x14ac:dyDescent="0.2">
      <c r="A576" s="70" t="s">
        <v>89</v>
      </c>
      <c r="B576" s="27" t="s">
        <v>5</v>
      </c>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row>
    <row r="577" spans="1:29" ht="18" x14ac:dyDescent="0.2">
      <c r="A577" s="70"/>
      <c r="B577" s="27" t="s">
        <v>6</v>
      </c>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row>
    <row r="578" spans="1:29" ht="18" x14ac:dyDescent="0.2">
      <c r="A578" s="70"/>
      <c r="B578" s="27" t="s">
        <v>3</v>
      </c>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row>
    <row r="579" spans="1:29" ht="18.75" customHeight="1" x14ac:dyDescent="0.2">
      <c r="A579" s="70"/>
      <c r="B579" s="27" t="s">
        <v>5</v>
      </c>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row>
    <row r="580" spans="1:29" ht="18" x14ac:dyDescent="0.2">
      <c r="A580" s="70"/>
      <c r="B580" s="27" t="s">
        <v>6</v>
      </c>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row>
    <row r="581" spans="1:29" ht="18" x14ac:dyDescent="0.2">
      <c r="A581" s="70"/>
      <c r="B581" s="27" t="s">
        <v>3</v>
      </c>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row>
    <row r="582" spans="1:29" ht="18" x14ac:dyDescent="0.2">
      <c r="A582" s="70"/>
      <c r="B582" s="27" t="s">
        <v>5</v>
      </c>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2"/>
      <c r="AC582" s="28"/>
    </row>
    <row r="583" spans="1:29" ht="18" x14ac:dyDescent="0.2">
      <c r="A583" s="70"/>
      <c r="B583" s="27" t="s">
        <v>6</v>
      </c>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row>
    <row r="584" spans="1:29" ht="18" x14ac:dyDescent="0.2">
      <c r="A584" s="70"/>
      <c r="B584" s="27" t="s">
        <v>3</v>
      </c>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row>
    <row r="585" spans="1:29" ht="18" x14ac:dyDescent="0.2">
      <c r="A585" s="20" t="s">
        <v>0</v>
      </c>
      <c r="B585" s="21" t="s">
        <v>2</v>
      </c>
      <c r="C585" s="76" t="s">
        <v>13</v>
      </c>
      <c r="D585" s="76"/>
      <c r="E585" s="76"/>
      <c r="F585" s="76"/>
      <c r="G585" s="76"/>
      <c r="H585" s="76" t="s">
        <v>14</v>
      </c>
      <c r="I585" s="76"/>
      <c r="J585" s="76"/>
      <c r="K585" s="76"/>
      <c r="L585" s="76" t="s">
        <v>15</v>
      </c>
      <c r="M585" s="76"/>
      <c r="N585" s="76"/>
      <c r="O585" s="76"/>
      <c r="P585" s="76" t="s">
        <v>16</v>
      </c>
      <c r="Q585" s="76"/>
      <c r="R585" s="76"/>
      <c r="S585" s="76"/>
      <c r="T585" s="76"/>
      <c r="U585" s="76" t="s">
        <v>17</v>
      </c>
      <c r="V585" s="76"/>
      <c r="W585" s="76"/>
      <c r="X585" s="76"/>
      <c r="Y585" s="76" t="s">
        <v>18</v>
      </c>
      <c r="Z585" s="76"/>
      <c r="AA585" s="76"/>
      <c r="AB585" s="76"/>
      <c r="AC585" s="76"/>
    </row>
    <row r="586" spans="1:29" ht="18" x14ac:dyDescent="0.2">
      <c r="A586" s="20" t="s">
        <v>1</v>
      </c>
      <c r="B586" s="24" t="s">
        <v>3</v>
      </c>
      <c r="C586" s="35" t="str">
        <f t="shared" ref="C586:AC586" si="37">C436</f>
        <v>1-6</v>
      </c>
      <c r="D586" s="35" t="str">
        <f t="shared" si="37"/>
        <v>7-13</v>
      </c>
      <c r="E586" s="35" t="str">
        <f t="shared" si="37"/>
        <v>14-20</v>
      </c>
      <c r="F586" s="35" t="str">
        <f t="shared" si="37"/>
        <v>21-27</v>
      </c>
      <c r="G586" s="35" t="str">
        <f t="shared" si="37"/>
        <v>28-31</v>
      </c>
      <c r="H586" s="35" t="str">
        <f t="shared" si="37"/>
        <v>1-10</v>
      </c>
      <c r="I586" s="35" t="str">
        <f t="shared" si="37"/>
        <v>11-17</v>
      </c>
      <c r="J586" s="35" t="str">
        <f t="shared" si="37"/>
        <v>18-24</v>
      </c>
      <c r="K586" s="35" t="str">
        <f t="shared" si="37"/>
        <v>25-31</v>
      </c>
      <c r="L586" s="35" t="str">
        <f t="shared" si="37"/>
        <v>1-7</v>
      </c>
      <c r="M586" s="35" t="str">
        <f t="shared" si="37"/>
        <v>8-14</v>
      </c>
      <c r="N586" s="35" t="str">
        <f t="shared" si="37"/>
        <v>15-21</v>
      </c>
      <c r="O586" s="35" t="str">
        <f t="shared" si="37"/>
        <v>22-30</v>
      </c>
      <c r="P586" s="35" t="str">
        <f t="shared" si="37"/>
        <v>1-5</v>
      </c>
      <c r="Q586" s="35" t="str">
        <f t="shared" si="37"/>
        <v>6-12</v>
      </c>
      <c r="R586" s="35" t="str">
        <f t="shared" si="37"/>
        <v>13-19</v>
      </c>
      <c r="S586" s="35" t="str">
        <f t="shared" si="37"/>
        <v>20-26</v>
      </c>
      <c r="T586" s="35" t="str">
        <f t="shared" si="37"/>
        <v>27-31</v>
      </c>
      <c r="U586" s="35" t="str">
        <f t="shared" si="37"/>
        <v>1-9</v>
      </c>
      <c r="V586" s="35" t="str">
        <f t="shared" si="37"/>
        <v>10-16</v>
      </c>
      <c r="W586" s="35" t="str">
        <f t="shared" si="37"/>
        <v>17-23</v>
      </c>
      <c r="X586" s="35" t="str">
        <f t="shared" si="37"/>
        <v>24-30</v>
      </c>
      <c r="Y586" s="35" t="str">
        <f t="shared" si="37"/>
        <v>1-7</v>
      </c>
      <c r="Z586" s="35" t="str">
        <f t="shared" si="37"/>
        <v>8-14</v>
      </c>
      <c r="AA586" s="35" t="str">
        <f t="shared" si="37"/>
        <v>15-21</v>
      </c>
      <c r="AB586" s="35" t="str">
        <f t="shared" si="37"/>
        <v>22-28</v>
      </c>
      <c r="AC586" s="35" t="str">
        <f t="shared" si="37"/>
        <v>29-31</v>
      </c>
    </row>
    <row r="587" spans="1:29" ht="18" x14ac:dyDescent="0.2">
      <c r="A587" s="34"/>
      <c r="B587" s="26" t="s">
        <v>4</v>
      </c>
      <c r="C587" s="22" t="s">
        <v>12</v>
      </c>
      <c r="D587" s="22" t="s">
        <v>12</v>
      </c>
      <c r="E587" s="22" t="s">
        <v>12</v>
      </c>
      <c r="F587" s="22" t="s">
        <v>12</v>
      </c>
      <c r="G587" s="22" t="s">
        <v>12</v>
      </c>
      <c r="H587" s="22" t="s">
        <v>12</v>
      </c>
      <c r="I587" s="22" t="s">
        <v>12</v>
      </c>
      <c r="J587" s="22" t="s">
        <v>12</v>
      </c>
      <c r="K587" s="22" t="s">
        <v>12</v>
      </c>
      <c r="L587" s="22" t="s">
        <v>12</v>
      </c>
      <c r="M587" s="22" t="s">
        <v>12</v>
      </c>
      <c r="N587" s="22" t="s">
        <v>12</v>
      </c>
      <c r="O587" s="22" t="s">
        <v>12</v>
      </c>
      <c r="P587" s="22" t="s">
        <v>12</v>
      </c>
      <c r="Q587" s="22" t="s">
        <v>12</v>
      </c>
      <c r="R587" s="22" t="s">
        <v>12</v>
      </c>
      <c r="S587" s="22" t="s">
        <v>12</v>
      </c>
      <c r="T587" s="22" t="s">
        <v>12</v>
      </c>
      <c r="U587" s="22" t="s">
        <v>12</v>
      </c>
      <c r="V587" s="22" t="s">
        <v>12</v>
      </c>
      <c r="W587" s="22" t="s">
        <v>12</v>
      </c>
      <c r="X587" s="22" t="s">
        <v>12</v>
      </c>
      <c r="Y587" s="22" t="s">
        <v>12</v>
      </c>
      <c r="Z587" s="22" t="s">
        <v>12</v>
      </c>
      <c r="AA587" s="22" t="s">
        <v>12</v>
      </c>
      <c r="AB587" s="22" t="s">
        <v>12</v>
      </c>
      <c r="AC587" s="22" t="s">
        <v>12</v>
      </c>
    </row>
    <row r="588" spans="1:29" ht="18.75" customHeight="1" x14ac:dyDescent="0.2">
      <c r="A588" s="70" t="s">
        <v>89</v>
      </c>
      <c r="B588" s="27" t="s">
        <v>5</v>
      </c>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row>
    <row r="589" spans="1:29" ht="18" x14ac:dyDescent="0.2">
      <c r="A589" s="70"/>
      <c r="B589" s="27" t="s">
        <v>6</v>
      </c>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row>
    <row r="590" spans="1:29" ht="18" x14ac:dyDescent="0.2">
      <c r="A590" s="70"/>
      <c r="B590" s="27" t="s">
        <v>3</v>
      </c>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row>
    <row r="591" spans="1:29" ht="18.75" customHeight="1" x14ac:dyDescent="0.2">
      <c r="A591" s="70"/>
      <c r="B591" s="27" t="s">
        <v>5</v>
      </c>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row>
    <row r="592" spans="1:29" ht="18" x14ac:dyDescent="0.2">
      <c r="A592" s="70"/>
      <c r="B592" s="27" t="s">
        <v>6</v>
      </c>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row>
    <row r="593" spans="1:29" ht="18" x14ac:dyDescent="0.2">
      <c r="A593" s="70"/>
      <c r="B593" s="27" t="s">
        <v>3</v>
      </c>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row>
    <row r="594" spans="1:29" ht="18" customHeight="1" x14ac:dyDescent="0.2">
      <c r="A594" s="70"/>
      <c r="B594" s="27" t="s">
        <v>5</v>
      </c>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2"/>
      <c r="AC594" s="28"/>
    </row>
    <row r="595" spans="1:29" ht="18" x14ac:dyDescent="0.2">
      <c r="A595" s="70"/>
      <c r="B595" s="27" t="s">
        <v>6</v>
      </c>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row>
    <row r="596" spans="1:29" ht="18" x14ac:dyDescent="0.2">
      <c r="A596" s="70"/>
      <c r="B596" s="27" t="s">
        <v>3</v>
      </c>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row>
    <row r="597" spans="1:29" ht="18" x14ac:dyDescent="0.4">
      <c r="A597" s="4" t="s">
        <v>219</v>
      </c>
      <c r="B597" s="4"/>
      <c r="C597" s="4"/>
      <c r="D597" s="4"/>
      <c r="E597" s="4"/>
      <c r="F597" s="4"/>
      <c r="G597" s="4"/>
      <c r="H597" s="4"/>
      <c r="I597" s="4"/>
      <c r="J597" s="4"/>
      <c r="K597" s="4"/>
      <c r="L597" s="4"/>
      <c r="M597" s="4"/>
      <c r="N597" s="4"/>
      <c r="O597" s="4"/>
      <c r="P597" s="4"/>
      <c r="Q597" s="4"/>
      <c r="R597" s="4"/>
      <c r="S597" s="4"/>
      <c r="T597" s="4"/>
      <c r="U597" s="4"/>
      <c r="V597" s="4"/>
      <c r="W597" s="71" t="s">
        <v>173</v>
      </c>
      <c r="X597" s="71"/>
      <c r="Y597" s="71"/>
      <c r="Z597" s="71"/>
      <c r="AA597" s="71"/>
      <c r="AB597" s="71"/>
      <c r="AC597" s="71"/>
    </row>
    <row r="598" spans="1:29" ht="18" x14ac:dyDescent="0.4">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spans="1:29" ht="18" x14ac:dyDescent="0.4">
      <c r="A599" s="9"/>
      <c r="B599" s="9"/>
      <c r="C599" s="9"/>
      <c r="D599" s="9"/>
      <c r="E599" s="9"/>
      <c r="F599" s="9"/>
      <c r="G599" s="9"/>
      <c r="H599" s="9"/>
      <c r="I599" s="9"/>
      <c r="J599" s="9"/>
      <c r="K599" s="9"/>
      <c r="L599" s="9"/>
      <c r="M599" s="9"/>
      <c r="N599" s="9"/>
      <c r="O599" s="9"/>
      <c r="P599" s="72" t="s">
        <v>28</v>
      </c>
      <c r="Q599" s="72"/>
      <c r="R599" s="73" t="str">
        <f>R539</f>
        <v>พีรวัส</v>
      </c>
      <c r="S599" s="73"/>
      <c r="T599" s="73"/>
      <c r="U599" s="72" t="s">
        <v>30</v>
      </c>
      <c r="V599" s="72"/>
      <c r="W599" s="73" t="str">
        <f>W539</f>
        <v>วรพงศ์</v>
      </c>
      <c r="X599" s="73"/>
      <c r="Y599" s="73"/>
      <c r="Z599" s="8" t="s">
        <v>29</v>
      </c>
      <c r="AA599" s="74">
        <f>AA539</f>
        <v>46021</v>
      </c>
      <c r="AB599" s="74"/>
      <c r="AC599" s="74"/>
    </row>
    <row r="600" spans="1:29" ht="18" x14ac:dyDescent="0.4">
      <c r="A600" s="4"/>
      <c r="B600" s="4"/>
      <c r="C600" s="4"/>
      <c r="D600" s="4"/>
      <c r="E600" s="4"/>
      <c r="F600" s="4"/>
      <c r="G600" s="4"/>
      <c r="H600" s="4"/>
      <c r="I600" s="4"/>
      <c r="J600" s="4"/>
      <c r="K600" s="4"/>
      <c r="L600" s="4"/>
      <c r="M600" s="4"/>
      <c r="N600" s="4"/>
      <c r="O600" s="4"/>
      <c r="P600" s="12"/>
      <c r="Q600" s="12"/>
      <c r="R600" s="10"/>
      <c r="S600" s="10"/>
      <c r="T600" s="10"/>
      <c r="U600" s="12"/>
      <c r="V600" s="12"/>
      <c r="W600" s="10"/>
      <c r="X600" s="10"/>
      <c r="Y600" s="10"/>
      <c r="Z600" s="12"/>
      <c r="AA600" s="13"/>
      <c r="AB600" s="13"/>
      <c r="AC600" s="13"/>
    </row>
    <row r="601" spans="1:29" ht="23.25" x14ac:dyDescent="0.5">
      <c r="A601" s="80" t="s">
        <v>26</v>
      </c>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row>
    <row r="602" spans="1:29" ht="21" x14ac:dyDescent="0.45">
      <c r="A602" s="6" t="s">
        <v>22</v>
      </c>
      <c r="B602" s="81" t="s">
        <v>269</v>
      </c>
      <c r="C602" s="81"/>
      <c r="D602" s="81"/>
      <c r="E602" s="81"/>
      <c r="F602" s="81"/>
      <c r="G602" s="81"/>
      <c r="H602" s="6" t="s">
        <v>24</v>
      </c>
      <c r="I602" s="82" t="s">
        <v>276</v>
      </c>
      <c r="J602" s="82"/>
      <c r="K602" s="82"/>
      <c r="L602" s="82"/>
      <c r="M602" s="83" t="s">
        <v>25</v>
      </c>
      <c r="N602" s="83"/>
      <c r="O602" s="81" t="s">
        <v>103</v>
      </c>
      <c r="P602" s="81"/>
      <c r="Q602" s="81"/>
      <c r="R602" s="81"/>
      <c r="S602" s="81"/>
      <c r="T602" s="6" t="s">
        <v>20</v>
      </c>
      <c r="U602" s="81">
        <f>$U$2</f>
        <v>2569</v>
      </c>
      <c r="V602" s="81"/>
      <c r="W602" s="83" t="s">
        <v>35</v>
      </c>
      <c r="X602" s="83"/>
      <c r="Y602" s="83"/>
      <c r="Z602" s="4" t="s">
        <v>21</v>
      </c>
      <c r="AA602" s="1"/>
      <c r="AB602" s="1"/>
      <c r="AC602" s="1"/>
    </row>
    <row r="603" spans="1:29" ht="18" x14ac:dyDescent="0.2">
      <c r="A603" s="20" t="s">
        <v>0</v>
      </c>
      <c r="B603" s="21" t="s">
        <v>2</v>
      </c>
      <c r="C603" s="75" t="s">
        <v>32</v>
      </c>
      <c r="D603" s="75"/>
      <c r="E603" s="75"/>
      <c r="F603" s="75"/>
      <c r="G603" s="75"/>
      <c r="H603" s="75" t="s">
        <v>7</v>
      </c>
      <c r="I603" s="75"/>
      <c r="J603" s="75"/>
      <c r="K603" s="75"/>
      <c r="L603" s="77" t="s">
        <v>8</v>
      </c>
      <c r="M603" s="78"/>
      <c r="N603" s="78"/>
      <c r="O603" s="79"/>
      <c r="P603" s="77" t="s">
        <v>9</v>
      </c>
      <c r="Q603" s="78"/>
      <c r="R603" s="78"/>
      <c r="S603" s="78"/>
      <c r="T603" s="79"/>
      <c r="U603" s="75" t="s">
        <v>10</v>
      </c>
      <c r="V603" s="75"/>
      <c r="W603" s="75"/>
      <c r="X603" s="75"/>
      <c r="Y603" s="75"/>
      <c r="Z603" s="75" t="s">
        <v>11</v>
      </c>
      <c r="AA603" s="75"/>
      <c r="AB603" s="75"/>
      <c r="AC603" s="75"/>
    </row>
    <row r="604" spans="1:29" ht="18" x14ac:dyDescent="0.2">
      <c r="A604" s="23" t="s">
        <v>1</v>
      </c>
      <c r="B604" s="24" t="s">
        <v>3</v>
      </c>
      <c r="C604" s="28" t="str">
        <f t="shared" ref="C604:AC604" si="38">C514</f>
        <v>1-5</v>
      </c>
      <c r="D604" s="28" t="str">
        <f t="shared" si="38"/>
        <v>6-12</v>
      </c>
      <c r="E604" s="28" t="str">
        <f t="shared" si="38"/>
        <v>13-19</v>
      </c>
      <c r="F604" s="28" t="str">
        <f t="shared" si="38"/>
        <v>20-26</v>
      </c>
      <c r="G604" s="28" t="str">
        <f t="shared" si="38"/>
        <v>27-31</v>
      </c>
      <c r="H604" s="28" t="str">
        <f t="shared" si="38"/>
        <v>1-9</v>
      </c>
      <c r="I604" s="28" t="str">
        <f t="shared" si="38"/>
        <v>10-16</v>
      </c>
      <c r="J604" s="28" t="str">
        <f t="shared" si="38"/>
        <v>17-23</v>
      </c>
      <c r="K604" s="28" t="str">
        <f t="shared" si="38"/>
        <v>24-28</v>
      </c>
      <c r="L604" s="28" t="str">
        <f t="shared" si="38"/>
        <v>1-9</v>
      </c>
      <c r="M604" s="28" t="str">
        <f t="shared" si="38"/>
        <v>10-16</v>
      </c>
      <c r="N604" s="28" t="str">
        <f t="shared" si="38"/>
        <v>17-23</v>
      </c>
      <c r="O604" s="28" t="str">
        <f t="shared" si="38"/>
        <v>24-31</v>
      </c>
      <c r="P604" s="28" t="str">
        <f t="shared" si="38"/>
        <v>1-6</v>
      </c>
      <c r="Q604" s="28" t="str">
        <f t="shared" si="38"/>
        <v>7-13</v>
      </c>
      <c r="R604" s="28" t="str">
        <f t="shared" si="38"/>
        <v>14-20</v>
      </c>
      <c r="S604" s="28" t="str">
        <f t="shared" si="38"/>
        <v>21-27</v>
      </c>
      <c r="T604" s="28" t="str">
        <f t="shared" si="38"/>
        <v>28-30</v>
      </c>
      <c r="U604" s="28" t="str">
        <f t="shared" si="38"/>
        <v>1-4</v>
      </c>
      <c r="V604" s="28" t="str">
        <f t="shared" si="38"/>
        <v>5-11</v>
      </c>
      <c r="W604" s="28" t="str">
        <f t="shared" si="38"/>
        <v>12-18</v>
      </c>
      <c r="X604" s="28" t="str">
        <f t="shared" si="38"/>
        <v>19-25</v>
      </c>
      <c r="Y604" s="28" t="str">
        <f t="shared" si="38"/>
        <v>26-31</v>
      </c>
      <c r="Z604" s="28" t="str">
        <f t="shared" si="38"/>
        <v>1-8</v>
      </c>
      <c r="AA604" s="28" t="str">
        <f t="shared" si="38"/>
        <v>9-15</v>
      </c>
      <c r="AB604" s="28" t="str">
        <f t="shared" si="38"/>
        <v>16-22</v>
      </c>
      <c r="AC604" s="28" t="str">
        <f t="shared" si="38"/>
        <v>23-30</v>
      </c>
    </row>
    <row r="605" spans="1:29" ht="18" x14ac:dyDescent="0.2">
      <c r="A605" s="25"/>
      <c r="B605" s="26" t="s">
        <v>4</v>
      </c>
      <c r="C605" s="22" t="s">
        <v>12</v>
      </c>
      <c r="D605" s="22" t="s">
        <v>12</v>
      </c>
      <c r="E605" s="22" t="s">
        <v>12</v>
      </c>
      <c r="F605" s="22" t="s">
        <v>12</v>
      </c>
      <c r="G605" s="22" t="s">
        <v>12</v>
      </c>
      <c r="H605" s="22" t="s">
        <v>12</v>
      </c>
      <c r="I605" s="22" t="s">
        <v>12</v>
      </c>
      <c r="J605" s="22" t="s">
        <v>12</v>
      </c>
      <c r="K605" s="22" t="s">
        <v>12</v>
      </c>
      <c r="L605" s="22" t="s">
        <v>12</v>
      </c>
      <c r="M605" s="22" t="s">
        <v>12</v>
      </c>
      <c r="N605" s="22" t="s">
        <v>12</v>
      </c>
      <c r="O605" s="22" t="s">
        <v>12</v>
      </c>
      <c r="P605" s="22" t="s">
        <v>12</v>
      </c>
      <c r="Q605" s="22" t="s">
        <v>12</v>
      </c>
      <c r="R605" s="22" t="s">
        <v>12</v>
      </c>
      <c r="S605" s="22" t="s">
        <v>12</v>
      </c>
      <c r="T605" s="22" t="s">
        <v>12</v>
      </c>
      <c r="U605" s="22" t="s">
        <v>12</v>
      </c>
      <c r="V605" s="22" t="s">
        <v>12</v>
      </c>
      <c r="W605" s="22" t="s">
        <v>12</v>
      </c>
      <c r="X605" s="22" t="s">
        <v>12</v>
      </c>
      <c r="Y605" s="22" t="s">
        <v>12</v>
      </c>
      <c r="Z605" s="22" t="s">
        <v>12</v>
      </c>
      <c r="AA605" s="22" t="s">
        <v>12</v>
      </c>
      <c r="AB605" s="22" t="s">
        <v>12</v>
      </c>
      <c r="AC605" s="22" t="s">
        <v>12</v>
      </c>
    </row>
    <row r="606" spans="1:29" ht="18.75" customHeight="1" x14ac:dyDescent="0.2">
      <c r="A606" s="70" t="s">
        <v>280</v>
      </c>
      <c r="B606" s="27" t="s">
        <v>5</v>
      </c>
      <c r="C606" s="28"/>
      <c r="D606" s="28"/>
      <c r="E606" s="28"/>
      <c r="F606" s="28"/>
      <c r="G606" s="29"/>
      <c r="H606" s="28"/>
      <c r="I606" s="28"/>
      <c r="J606" s="28"/>
      <c r="K606" s="29"/>
      <c r="L606" s="28"/>
      <c r="M606" s="28"/>
      <c r="N606" s="28"/>
      <c r="O606" s="29"/>
      <c r="P606" s="29"/>
      <c r="Q606" s="28"/>
      <c r="R606" s="28"/>
      <c r="S606" s="29" t="s">
        <v>60</v>
      </c>
      <c r="T606" s="29"/>
      <c r="U606" s="28"/>
      <c r="V606" s="28"/>
      <c r="W606" s="28"/>
      <c r="X606" s="28"/>
      <c r="Y606" s="29"/>
      <c r="Z606" s="28"/>
      <c r="AA606" s="28"/>
      <c r="AB606" s="22"/>
      <c r="AC606" s="29"/>
    </row>
    <row r="607" spans="1:29" ht="18" x14ac:dyDescent="0.2">
      <c r="A607" s="70"/>
      <c r="B607" s="27" t="s">
        <v>6</v>
      </c>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row>
    <row r="608" spans="1:29" ht="18" x14ac:dyDescent="0.2">
      <c r="A608" s="70"/>
      <c r="B608" s="27" t="s">
        <v>3</v>
      </c>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row>
    <row r="609" spans="1:29" ht="18.75" customHeight="1" x14ac:dyDescent="0.2">
      <c r="A609" s="70" t="s">
        <v>279</v>
      </c>
      <c r="B609" s="27" t="s">
        <v>5</v>
      </c>
      <c r="C609" s="35"/>
      <c r="D609" s="28"/>
      <c r="E609" s="35"/>
      <c r="F609" s="35"/>
      <c r="G609" s="29"/>
      <c r="H609" s="28"/>
      <c r="I609" s="28"/>
      <c r="J609" s="28"/>
      <c r="K609" s="29"/>
      <c r="L609" s="28"/>
      <c r="M609" s="28"/>
      <c r="N609" s="28"/>
      <c r="O609" s="28"/>
      <c r="P609" s="29"/>
      <c r="Q609" s="28"/>
      <c r="R609" s="28"/>
      <c r="S609" s="29" t="s">
        <v>60</v>
      </c>
      <c r="T609" s="29"/>
      <c r="U609" s="28"/>
      <c r="V609" s="28"/>
      <c r="W609" s="28"/>
      <c r="X609" s="28"/>
      <c r="Y609" s="29"/>
      <c r="Z609" s="28"/>
      <c r="AA609" s="28"/>
      <c r="AB609" s="22"/>
      <c r="AC609" s="29"/>
    </row>
    <row r="610" spans="1:29" ht="18" x14ac:dyDescent="0.2">
      <c r="A610" s="70"/>
      <c r="B610" s="27" t="s">
        <v>6</v>
      </c>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row>
    <row r="611" spans="1:29" ht="18" x14ac:dyDescent="0.2">
      <c r="A611" s="70"/>
      <c r="B611" s="27" t="s">
        <v>3</v>
      </c>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row>
    <row r="612" spans="1:29" ht="18.75" customHeight="1" x14ac:dyDescent="0.2">
      <c r="A612" s="70"/>
      <c r="B612" s="27" t="s">
        <v>5</v>
      </c>
      <c r="C612" s="28"/>
      <c r="D612" s="28"/>
      <c r="E612" s="28"/>
      <c r="F612" s="28"/>
      <c r="G612" s="28"/>
      <c r="H612" s="28"/>
      <c r="I612" s="28"/>
      <c r="J612" s="28"/>
      <c r="K612" s="28"/>
      <c r="L612" s="28"/>
      <c r="M612" s="28"/>
      <c r="N612" s="28"/>
      <c r="O612" s="28"/>
      <c r="P612" s="28"/>
      <c r="Q612" s="28"/>
      <c r="R612" s="28"/>
      <c r="S612" s="28"/>
      <c r="T612" s="29"/>
      <c r="U612" s="29"/>
      <c r="V612" s="28"/>
      <c r="W612" s="28"/>
      <c r="X612" s="28"/>
      <c r="Y612" s="28"/>
      <c r="Z612" s="28"/>
      <c r="AA612" s="28"/>
      <c r="AB612" s="22"/>
      <c r="AC612" s="28"/>
    </row>
    <row r="613" spans="1:29" ht="18" x14ac:dyDescent="0.2">
      <c r="A613" s="70"/>
      <c r="B613" s="27" t="s">
        <v>6</v>
      </c>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row>
    <row r="614" spans="1:29" ht="18" x14ac:dyDescent="0.2">
      <c r="A614" s="70"/>
      <c r="B614" s="27" t="s">
        <v>3</v>
      </c>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row>
    <row r="615" spans="1:29" ht="18" x14ac:dyDescent="0.2">
      <c r="A615" s="20" t="s">
        <v>0</v>
      </c>
      <c r="B615" s="21" t="s">
        <v>2</v>
      </c>
      <c r="C615" s="76" t="s">
        <v>13</v>
      </c>
      <c r="D615" s="76"/>
      <c r="E615" s="76"/>
      <c r="F615" s="76"/>
      <c r="G615" s="76"/>
      <c r="H615" s="76" t="s">
        <v>14</v>
      </c>
      <c r="I615" s="76"/>
      <c r="J615" s="76"/>
      <c r="K615" s="76"/>
      <c r="L615" s="76" t="s">
        <v>15</v>
      </c>
      <c r="M615" s="76"/>
      <c r="N615" s="76"/>
      <c r="O615" s="76"/>
      <c r="P615" s="76" t="s">
        <v>16</v>
      </c>
      <c r="Q615" s="76"/>
      <c r="R615" s="76"/>
      <c r="S615" s="76"/>
      <c r="T615" s="76"/>
      <c r="U615" s="76" t="s">
        <v>17</v>
      </c>
      <c r="V615" s="76"/>
      <c r="W615" s="76"/>
      <c r="X615" s="76"/>
      <c r="Y615" s="76" t="s">
        <v>18</v>
      </c>
      <c r="Z615" s="76"/>
      <c r="AA615" s="76"/>
      <c r="AB615" s="76"/>
      <c r="AC615" s="76"/>
    </row>
    <row r="616" spans="1:29" ht="18" x14ac:dyDescent="0.2">
      <c r="A616" s="20" t="s">
        <v>1</v>
      </c>
      <c r="B616" s="24" t="s">
        <v>3</v>
      </c>
      <c r="C616" s="35" t="str">
        <f t="shared" ref="C616:AC616" si="39">C466</f>
        <v>1-6</v>
      </c>
      <c r="D616" s="35" t="str">
        <f t="shared" si="39"/>
        <v>7-13</v>
      </c>
      <c r="E616" s="35" t="str">
        <f t="shared" si="39"/>
        <v>14-20</v>
      </c>
      <c r="F616" s="35" t="str">
        <f t="shared" si="39"/>
        <v>21-27</v>
      </c>
      <c r="G616" s="35" t="str">
        <f t="shared" si="39"/>
        <v>28-31</v>
      </c>
      <c r="H616" s="35" t="str">
        <f t="shared" si="39"/>
        <v>1-10</v>
      </c>
      <c r="I616" s="35" t="str">
        <f t="shared" si="39"/>
        <v>11-17</v>
      </c>
      <c r="J616" s="35" t="str">
        <f t="shared" si="39"/>
        <v>18-24</v>
      </c>
      <c r="K616" s="35" t="str">
        <f t="shared" si="39"/>
        <v>25-31</v>
      </c>
      <c r="L616" s="35" t="str">
        <f t="shared" si="39"/>
        <v>1-7</v>
      </c>
      <c r="M616" s="35" t="str">
        <f t="shared" si="39"/>
        <v>8-14</v>
      </c>
      <c r="N616" s="35" t="str">
        <f t="shared" si="39"/>
        <v>15-21</v>
      </c>
      <c r="O616" s="35" t="str">
        <f t="shared" si="39"/>
        <v>22-30</v>
      </c>
      <c r="P616" s="35" t="str">
        <f t="shared" si="39"/>
        <v>1-5</v>
      </c>
      <c r="Q616" s="35" t="str">
        <f t="shared" si="39"/>
        <v>6-12</v>
      </c>
      <c r="R616" s="35" t="str">
        <f t="shared" si="39"/>
        <v>13-19</v>
      </c>
      <c r="S616" s="35" t="str">
        <f t="shared" si="39"/>
        <v>20-26</v>
      </c>
      <c r="T616" s="35" t="str">
        <f t="shared" si="39"/>
        <v>27-31</v>
      </c>
      <c r="U616" s="35" t="str">
        <f t="shared" si="39"/>
        <v>1-9</v>
      </c>
      <c r="V616" s="35" t="str">
        <f t="shared" si="39"/>
        <v>10-16</v>
      </c>
      <c r="W616" s="35" t="str">
        <f t="shared" si="39"/>
        <v>17-23</v>
      </c>
      <c r="X616" s="35" t="str">
        <f t="shared" si="39"/>
        <v>24-30</v>
      </c>
      <c r="Y616" s="35" t="str">
        <f t="shared" si="39"/>
        <v>1-7</v>
      </c>
      <c r="Z616" s="35" t="str">
        <f t="shared" si="39"/>
        <v>8-14</v>
      </c>
      <c r="AA616" s="35" t="str">
        <f t="shared" si="39"/>
        <v>15-21</v>
      </c>
      <c r="AB616" s="35" t="str">
        <f t="shared" si="39"/>
        <v>22-28</v>
      </c>
      <c r="AC616" s="35" t="str">
        <f t="shared" si="39"/>
        <v>29-31</v>
      </c>
    </row>
    <row r="617" spans="1:29" ht="18" x14ac:dyDescent="0.2">
      <c r="A617" s="34"/>
      <c r="B617" s="26" t="s">
        <v>4</v>
      </c>
      <c r="C617" s="22" t="s">
        <v>12</v>
      </c>
      <c r="D617" s="22" t="s">
        <v>12</v>
      </c>
      <c r="E617" s="22" t="s">
        <v>12</v>
      </c>
      <c r="F617" s="22" t="s">
        <v>12</v>
      </c>
      <c r="G617" s="22" t="s">
        <v>12</v>
      </c>
      <c r="H617" s="22" t="s">
        <v>12</v>
      </c>
      <c r="I617" s="22" t="s">
        <v>12</v>
      </c>
      <c r="J617" s="22" t="s">
        <v>12</v>
      </c>
      <c r="K617" s="22" t="s">
        <v>12</v>
      </c>
      <c r="L617" s="22" t="s">
        <v>12</v>
      </c>
      <c r="M617" s="22" t="s">
        <v>12</v>
      </c>
      <c r="N617" s="22" t="s">
        <v>12</v>
      </c>
      <c r="O617" s="22" t="s">
        <v>12</v>
      </c>
      <c r="P617" s="22" t="s">
        <v>12</v>
      </c>
      <c r="Q617" s="22" t="s">
        <v>12</v>
      </c>
      <c r="R617" s="22" t="s">
        <v>12</v>
      </c>
      <c r="S617" s="22" t="s">
        <v>12</v>
      </c>
      <c r="T617" s="22" t="s">
        <v>12</v>
      </c>
      <c r="U617" s="22" t="s">
        <v>12</v>
      </c>
      <c r="V617" s="22" t="s">
        <v>12</v>
      </c>
      <c r="W617" s="22" t="s">
        <v>12</v>
      </c>
      <c r="X617" s="22" t="s">
        <v>12</v>
      </c>
      <c r="Y617" s="22" t="s">
        <v>12</v>
      </c>
      <c r="Z617" s="22" t="s">
        <v>12</v>
      </c>
      <c r="AA617" s="22" t="s">
        <v>12</v>
      </c>
      <c r="AB617" s="22" t="s">
        <v>12</v>
      </c>
      <c r="AC617" s="22" t="s">
        <v>12</v>
      </c>
    </row>
    <row r="618" spans="1:29" ht="18.75" customHeight="1" x14ac:dyDescent="0.2">
      <c r="A618" s="70" t="s">
        <v>280</v>
      </c>
      <c r="B618" s="27" t="s">
        <v>5</v>
      </c>
      <c r="C618" s="28"/>
      <c r="D618" s="28"/>
      <c r="E618" s="28"/>
      <c r="F618" s="28"/>
      <c r="G618" s="29"/>
      <c r="H618" s="28"/>
      <c r="I618" s="28"/>
      <c r="J618" s="28"/>
      <c r="K618" s="29"/>
      <c r="L618" s="28"/>
      <c r="M618" s="28"/>
      <c r="N618" s="28"/>
      <c r="O618" s="29"/>
      <c r="P618" s="28"/>
      <c r="Q618" s="28"/>
      <c r="R618" s="28"/>
      <c r="S618" s="28"/>
      <c r="T618" s="29" t="s">
        <v>60</v>
      </c>
      <c r="U618" s="28"/>
      <c r="V618" s="28"/>
      <c r="W618" s="28"/>
      <c r="X618" s="29"/>
      <c r="Y618" s="28"/>
      <c r="Z618" s="28"/>
      <c r="AA618" s="28"/>
      <c r="AB618" s="22"/>
      <c r="AC618" s="29"/>
    </row>
    <row r="619" spans="1:29" ht="18" x14ac:dyDescent="0.2">
      <c r="A619" s="70"/>
      <c r="B619" s="27" t="s">
        <v>6</v>
      </c>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row>
    <row r="620" spans="1:29" ht="18" x14ac:dyDescent="0.2">
      <c r="A620" s="70"/>
      <c r="B620" s="27" t="s">
        <v>3</v>
      </c>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row>
    <row r="621" spans="1:29" ht="18.75" customHeight="1" x14ac:dyDescent="0.2">
      <c r="A621" s="70" t="s">
        <v>279</v>
      </c>
      <c r="B621" s="27" t="s">
        <v>5</v>
      </c>
      <c r="C621" s="29"/>
      <c r="D621" s="28"/>
      <c r="E621" s="28"/>
      <c r="F621" s="35"/>
      <c r="G621" s="28"/>
      <c r="H621" s="28"/>
      <c r="I621" s="28"/>
      <c r="J621" s="28"/>
      <c r="K621" s="28"/>
      <c r="L621" s="28"/>
      <c r="M621" s="28"/>
      <c r="N621" s="28"/>
      <c r="O621" s="28"/>
      <c r="P621" s="28"/>
      <c r="Q621" s="28"/>
      <c r="R621" s="28"/>
      <c r="S621" s="28"/>
      <c r="T621" s="28"/>
      <c r="U621" s="28"/>
      <c r="V621" s="28"/>
      <c r="W621" s="28"/>
      <c r="X621" s="29"/>
      <c r="Y621" s="28"/>
      <c r="Z621" s="28"/>
      <c r="AA621" s="28"/>
      <c r="AB621" s="22"/>
      <c r="AC621" s="28"/>
    </row>
    <row r="622" spans="1:29" ht="18" x14ac:dyDescent="0.2">
      <c r="A622" s="70"/>
      <c r="B622" s="27" t="s">
        <v>6</v>
      </c>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row>
    <row r="623" spans="1:29" ht="18" x14ac:dyDescent="0.2">
      <c r="A623" s="70"/>
      <c r="B623" s="27" t="s">
        <v>3</v>
      </c>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row>
    <row r="624" spans="1:29" ht="18.75" customHeight="1" x14ac:dyDescent="0.2">
      <c r="A624" s="70"/>
      <c r="B624" s="27" t="s">
        <v>5</v>
      </c>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2"/>
      <c r="AC624" s="29"/>
    </row>
    <row r="625" spans="1:29" ht="18" x14ac:dyDescent="0.2">
      <c r="A625" s="70"/>
      <c r="B625" s="27" t="s">
        <v>6</v>
      </c>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row>
    <row r="626" spans="1:29" ht="18" x14ac:dyDescent="0.2">
      <c r="A626" s="70"/>
      <c r="B626" s="27" t="s">
        <v>3</v>
      </c>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row>
    <row r="627" spans="1:29" ht="18" x14ac:dyDescent="0.4">
      <c r="A627" s="4" t="s">
        <v>219</v>
      </c>
      <c r="B627" s="4"/>
      <c r="C627" s="4"/>
      <c r="D627" s="4"/>
      <c r="E627" s="4"/>
      <c r="F627" s="4"/>
      <c r="G627" s="4"/>
      <c r="H627" s="4"/>
      <c r="I627" s="4"/>
      <c r="J627" s="4"/>
      <c r="K627" s="4"/>
      <c r="L627" s="4"/>
      <c r="M627" s="4"/>
      <c r="N627" s="4"/>
      <c r="O627" s="4"/>
      <c r="P627" s="4"/>
      <c r="Q627" s="4"/>
      <c r="R627" s="4"/>
      <c r="S627" s="4"/>
      <c r="T627" s="4"/>
      <c r="U627" s="4"/>
      <c r="V627" s="4"/>
      <c r="W627" s="71" t="s">
        <v>173</v>
      </c>
      <c r="X627" s="71"/>
      <c r="Y627" s="71"/>
      <c r="Z627" s="71"/>
      <c r="AA627" s="71"/>
      <c r="AB627" s="71"/>
      <c r="AC627" s="71"/>
    </row>
    <row r="628" spans="1:29" ht="18" x14ac:dyDescent="0.4">
      <c r="A628" s="7" t="s">
        <v>268</v>
      </c>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spans="1:29" ht="18" x14ac:dyDescent="0.4">
      <c r="A629" s="9"/>
      <c r="B629" s="9"/>
      <c r="C629" s="9"/>
      <c r="D629" s="9"/>
      <c r="E629" s="9"/>
      <c r="F629" s="9"/>
      <c r="G629" s="9"/>
      <c r="H629" s="9"/>
      <c r="I629" s="9"/>
      <c r="J629" s="9"/>
      <c r="K629" s="9"/>
      <c r="L629" s="9"/>
      <c r="M629" s="9"/>
      <c r="N629" s="9"/>
      <c r="O629" s="9"/>
      <c r="P629" s="72" t="s">
        <v>28</v>
      </c>
      <c r="Q629" s="72"/>
      <c r="R629" s="73" t="str">
        <f>R599</f>
        <v>พีรวัส</v>
      </c>
      <c r="S629" s="73"/>
      <c r="T629" s="73"/>
      <c r="U629" s="72" t="s">
        <v>30</v>
      </c>
      <c r="V629" s="72"/>
      <c r="W629" s="73" t="str">
        <f>W599</f>
        <v>วรพงศ์</v>
      </c>
      <c r="X629" s="73"/>
      <c r="Y629" s="73"/>
      <c r="Z629" s="8" t="s">
        <v>29</v>
      </c>
      <c r="AA629" s="74">
        <f>AA599</f>
        <v>46021</v>
      </c>
      <c r="AB629" s="74"/>
      <c r="AC629" s="74"/>
    </row>
    <row r="630" spans="1:29" ht="18" customHeight="1" x14ac:dyDescent="0.2"/>
    <row r="631" spans="1:29" ht="23.25" x14ac:dyDescent="0.5">
      <c r="A631" s="80" t="s">
        <v>26</v>
      </c>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row>
    <row r="632" spans="1:29" ht="21" x14ac:dyDescent="0.45">
      <c r="A632" s="6" t="s">
        <v>22</v>
      </c>
      <c r="B632" s="81" t="s">
        <v>106</v>
      </c>
      <c r="C632" s="81"/>
      <c r="D632" s="81"/>
      <c r="E632" s="81"/>
      <c r="F632" s="81"/>
      <c r="G632" s="81"/>
      <c r="H632" s="6" t="s">
        <v>24</v>
      </c>
      <c r="I632" s="84" t="s">
        <v>107</v>
      </c>
      <c r="J632" s="84"/>
      <c r="K632" s="84"/>
      <c r="L632" s="84"/>
      <c r="M632" s="83" t="s">
        <v>25</v>
      </c>
      <c r="N632" s="83"/>
      <c r="O632" s="81" t="s">
        <v>108</v>
      </c>
      <c r="P632" s="81"/>
      <c r="Q632" s="81"/>
      <c r="R632" s="81"/>
      <c r="S632" s="81"/>
      <c r="T632" s="6" t="s">
        <v>20</v>
      </c>
      <c r="U632" s="81">
        <f>$U$2</f>
        <v>2569</v>
      </c>
      <c r="V632" s="81"/>
      <c r="W632" s="83" t="s">
        <v>35</v>
      </c>
      <c r="X632" s="83"/>
      <c r="Y632" s="83"/>
      <c r="Z632" s="4" t="s">
        <v>205</v>
      </c>
      <c r="AA632" s="1"/>
      <c r="AB632" s="1"/>
      <c r="AC632" s="1"/>
    </row>
    <row r="633" spans="1:29" ht="18" x14ac:dyDescent="0.2">
      <c r="A633" s="20" t="s">
        <v>0</v>
      </c>
      <c r="B633" s="21" t="s">
        <v>2</v>
      </c>
      <c r="C633" s="75" t="s">
        <v>32</v>
      </c>
      <c r="D633" s="75"/>
      <c r="E633" s="75"/>
      <c r="F633" s="75"/>
      <c r="G633" s="75"/>
      <c r="H633" s="75" t="s">
        <v>7</v>
      </c>
      <c r="I633" s="75"/>
      <c r="J633" s="75"/>
      <c r="K633" s="75"/>
      <c r="L633" s="77" t="s">
        <v>8</v>
      </c>
      <c r="M633" s="78"/>
      <c r="N633" s="78"/>
      <c r="O633" s="79"/>
      <c r="P633" s="77" t="s">
        <v>9</v>
      </c>
      <c r="Q633" s="78"/>
      <c r="R633" s="78"/>
      <c r="S633" s="78"/>
      <c r="T633" s="79"/>
      <c r="U633" s="75" t="s">
        <v>10</v>
      </c>
      <c r="V633" s="75"/>
      <c r="W633" s="75"/>
      <c r="X633" s="75"/>
      <c r="Y633" s="75"/>
      <c r="Z633" s="75" t="s">
        <v>11</v>
      </c>
      <c r="AA633" s="75"/>
      <c r="AB633" s="75"/>
      <c r="AC633" s="75"/>
    </row>
    <row r="634" spans="1:29" ht="18" x14ac:dyDescent="0.2">
      <c r="A634" s="23" t="s">
        <v>1</v>
      </c>
      <c r="B634" s="24" t="s">
        <v>3</v>
      </c>
      <c r="C634" s="28" t="str">
        <f>C604</f>
        <v>1-5</v>
      </c>
      <c r="D634" s="28" t="str">
        <f t="shared" ref="D634:AC634" si="40">D604</f>
        <v>6-12</v>
      </c>
      <c r="E634" s="28" t="str">
        <f t="shared" si="40"/>
        <v>13-19</v>
      </c>
      <c r="F634" s="28" t="str">
        <f t="shared" si="40"/>
        <v>20-26</v>
      </c>
      <c r="G634" s="28" t="str">
        <f t="shared" si="40"/>
        <v>27-31</v>
      </c>
      <c r="H634" s="28" t="str">
        <f t="shared" si="40"/>
        <v>1-9</v>
      </c>
      <c r="I634" s="28" t="str">
        <f t="shared" si="40"/>
        <v>10-16</v>
      </c>
      <c r="J634" s="28" t="str">
        <f t="shared" si="40"/>
        <v>17-23</v>
      </c>
      <c r="K634" s="28" t="str">
        <f t="shared" si="40"/>
        <v>24-28</v>
      </c>
      <c r="L634" s="28" t="str">
        <f t="shared" si="40"/>
        <v>1-9</v>
      </c>
      <c r="M634" s="28" t="str">
        <f t="shared" si="40"/>
        <v>10-16</v>
      </c>
      <c r="N634" s="28" t="str">
        <f t="shared" si="40"/>
        <v>17-23</v>
      </c>
      <c r="O634" s="28" t="str">
        <f t="shared" si="40"/>
        <v>24-31</v>
      </c>
      <c r="P634" s="28" t="str">
        <f t="shared" si="40"/>
        <v>1-6</v>
      </c>
      <c r="Q634" s="28" t="str">
        <f t="shared" si="40"/>
        <v>7-13</v>
      </c>
      <c r="R634" s="28" t="str">
        <f t="shared" si="40"/>
        <v>14-20</v>
      </c>
      <c r="S634" s="28" t="str">
        <f t="shared" si="40"/>
        <v>21-27</v>
      </c>
      <c r="T634" s="28" t="str">
        <f t="shared" si="40"/>
        <v>28-30</v>
      </c>
      <c r="U634" s="28" t="str">
        <f t="shared" si="40"/>
        <v>1-4</v>
      </c>
      <c r="V634" s="28" t="str">
        <f t="shared" si="40"/>
        <v>5-11</v>
      </c>
      <c r="W634" s="28" t="str">
        <f t="shared" si="40"/>
        <v>12-18</v>
      </c>
      <c r="X634" s="28" t="str">
        <f t="shared" si="40"/>
        <v>19-25</v>
      </c>
      <c r="Y634" s="28" t="str">
        <f t="shared" si="40"/>
        <v>26-31</v>
      </c>
      <c r="Z634" s="28" t="str">
        <f t="shared" si="40"/>
        <v>1-8</v>
      </c>
      <c r="AA634" s="28" t="str">
        <f t="shared" si="40"/>
        <v>9-15</v>
      </c>
      <c r="AB634" s="28" t="str">
        <f t="shared" si="40"/>
        <v>16-22</v>
      </c>
      <c r="AC634" s="28" t="str">
        <f t="shared" si="40"/>
        <v>23-30</v>
      </c>
    </row>
    <row r="635" spans="1:29" ht="18" x14ac:dyDescent="0.2">
      <c r="A635" s="25"/>
      <c r="B635" s="26" t="s">
        <v>4</v>
      </c>
      <c r="C635" s="22" t="s">
        <v>12</v>
      </c>
      <c r="D635" s="22" t="s">
        <v>12</v>
      </c>
      <c r="E635" s="22" t="s">
        <v>12</v>
      </c>
      <c r="F635" s="22" t="s">
        <v>12</v>
      </c>
      <c r="G635" s="22" t="s">
        <v>12</v>
      </c>
      <c r="H635" s="22" t="s">
        <v>12</v>
      </c>
      <c r="I635" s="22" t="s">
        <v>12</v>
      </c>
      <c r="J635" s="22" t="s">
        <v>12</v>
      </c>
      <c r="K635" s="22" t="s">
        <v>12</v>
      </c>
      <c r="L635" s="22" t="s">
        <v>12</v>
      </c>
      <c r="M635" s="22" t="s">
        <v>12</v>
      </c>
      <c r="N635" s="22" t="s">
        <v>12</v>
      </c>
      <c r="O635" s="22" t="s">
        <v>12</v>
      </c>
      <c r="P635" s="22" t="s">
        <v>12</v>
      </c>
      <c r="Q635" s="22" t="s">
        <v>12</v>
      </c>
      <c r="R635" s="22" t="s">
        <v>12</v>
      </c>
      <c r="S635" s="22" t="s">
        <v>12</v>
      </c>
      <c r="T635" s="22" t="s">
        <v>12</v>
      </c>
      <c r="U635" s="22" t="s">
        <v>12</v>
      </c>
      <c r="V635" s="22" t="s">
        <v>12</v>
      </c>
      <c r="W635" s="22" t="s">
        <v>12</v>
      </c>
      <c r="X635" s="22" t="s">
        <v>12</v>
      </c>
      <c r="Y635" s="22" t="s">
        <v>12</v>
      </c>
      <c r="Z635" s="22" t="s">
        <v>12</v>
      </c>
      <c r="AA635" s="22" t="s">
        <v>12</v>
      </c>
      <c r="AB635" s="22" t="s">
        <v>12</v>
      </c>
      <c r="AC635" s="22" t="s">
        <v>12</v>
      </c>
    </row>
    <row r="636" spans="1:29" ht="18.75" customHeight="1" x14ac:dyDescent="0.2">
      <c r="A636" s="70" t="s">
        <v>105</v>
      </c>
      <c r="B636" s="27" t="s">
        <v>5</v>
      </c>
      <c r="C636" s="35"/>
      <c r="D636" s="28"/>
      <c r="E636" s="35"/>
      <c r="F636" s="35"/>
      <c r="G636" s="29"/>
      <c r="H636" s="28"/>
      <c r="I636" s="28"/>
      <c r="J636" s="28"/>
      <c r="K636" s="29"/>
      <c r="L636" s="28"/>
      <c r="M636" s="28"/>
      <c r="N636" s="28"/>
      <c r="O636" s="28"/>
      <c r="P636" s="29"/>
      <c r="Q636" s="28"/>
      <c r="R636" s="28"/>
      <c r="S636" s="28"/>
      <c r="T636" s="29"/>
      <c r="U636" s="28"/>
      <c r="V636" s="28"/>
      <c r="W636" s="28"/>
      <c r="X636" s="28"/>
      <c r="Y636" s="29"/>
      <c r="Z636" s="28"/>
      <c r="AA636" s="28"/>
      <c r="AB636" s="22"/>
      <c r="AC636" s="29"/>
    </row>
    <row r="637" spans="1:29" ht="18" x14ac:dyDescent="0.2">
      <c r="A637" s="70"/>
      <c r="B637" s="27" t="s">
        <v>6</v>
      </c>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row>
    <row r="638" spans="1:29" ht="18" x14ac:dyDescent="0.2">
      <c r="A638" s="70"/>
      <c r="B638" s="27" t="s">
        <v>3</v>
      </c>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row>
    <row r="639" spans="1:29" ht="18.75" customHeight="1" x14ac:dyDescent="0.2">
      <c r="A639" s="70"/>
      <c r="B639" s="27" t="s">
        <v>5</v>
      </c>
      <c r="C639" s="35"/>
      <c r="D639" s="28"/>
      <c r="E639" s="35"/>
      <c r="F639" s="35"/>
      <c r="G639" s="29"/>
      <c r="H639" s="28"/>
      <c r="I639" s="28"/>
      <c r="J639" s="28"/>
      <c r="K639" s="29"/>
      <c r="L639" s="28"/>
      <c r="M639" s="28"/>
      <c r="N639" s="28"/>
      <c r="O639" s="28"/>
      <c r="P639" s="29"/>
      <c r="Q639" s="28"/>
      <c r="R639" s="28"/>
      <c r="S639" s="28"/>
      <c r="T639" s="29"/>
      <c r="U639" s="28"/>
      <c r="V639" s="28"/>
      <c r="W639" s="28"/>
      <c r="X639" s="28"/>
      <c r="Y639" s="29"/>
      <c r="Z639" s="28"/>
      <c r="AA639" s="28"/>
      <c r="AB639" s="22"/>
      <c r="AC639" s="29"/>
    </row>
    <row r="640" spans="1:29" ht="18" x14ac:dyDescent="0.2">
      <c r="A640" s="70"/>
      <c r="B640" s="27" t="s">
        <v>6</v>
      </c>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row>
    <row r="641" spans="1:29" ht="18" x14ac:dyDescent="0.2">
      <c r="A641" s="70"/>
      <c r="B641" s="27" t="s">
        <v>3</v>
      </c>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row>
    <row r="642" spans="1:29" ht="18.75" customHeight="1" x14ac:dyDescent="0.2">
      <c r="A642" s="70"/>
      <c r="B642" s="27" t="s">
        <v>5</v>
      </c>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2"/>
      <c r="AC642" s="28"/>
    </row>
    <row r="643" spans="1:29" ht="18" x14ac:dyDescent="0.2">
      <c r="A643" s="70"/>
      <c r="B643" s="27" t="s">
        <v>6</v>
      </c>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row>
    <row r="644" spans="1:29" ht="18" x14ac:dyDescent="0.2">
      <c r="A644" s="70"/>
      <c r="B644" s="27" t="s">
        <v>3</v>
      </c>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row>
    <row r="645" spans="1:29" ht="18" x14ac:dyDescent="0.2">
      <c r="A645" s="20" t="s">
        <v>0</v>
      </c>
      <c r="B645" s="21" t="s">
        <v>2</v>
      </c>
      <c r="C645" s="76" t="s">
        <v>13</v>
      </c>
      <c r="D645" s="76"/>
      <c r="E645" s="76"/>
      <c r="F645" s="76"/>
      <c r="G645" s="76"/>
      <c r="H645" s="76" t="s">
        <v>14</v>
      </c>
      <c r="I645" s="76"/>
      <c r="J645" s="76"/>
      <c r="K645" s="76"/>
      <c r="L645" s="76" t="s">
        <v>15</v>
      </c>
      <c r="M645" s="76"/>
      <c r="N645" s="76"/>
      <c r="O645" s="76"/>
      <c r="P645" s="76" t="s">
        <v>16</v>
      </c>
      <c r="Q645" s="76"/>
      <c r="R645" s="76"/>
      <c r="S645" s="76"/>
      <c r="T645" s="76"/>
      <c r="U645" s="76" t="s">
        <v>17</v>
      </c>
      <c r="V645" s="76"/>
      <c r="W645" s="76"/>
      <c r="X645" s="76"/>
      <c r="Y645" s="76" t="s">
        <v>18</v>
      </c>
      <c r="Z645" s="76"/>
      <c r="AA645" s="76"/>
      <c r="AB645" s="76"/>
      <c r="AC645" s="76"/>
    </row>
    <row r="646" spans="1:29" ht="18" x14ac:dyDescent="0.2">
      <c r="A646" s="20" t="s">
        <v>1</v>
      </c>
      <c r="B646" s="24" t="s">
        <v>3</v>
      </c>
      <c r="C646" s="28" t="str">
        <f>C616</f>
        <v>1-6</v>
      </c>
      <c r="D646" s="28" t="str">
        <f t="shared" ref="D646:AC646" si="41">D616</f>
        <v>7-13</v>
      </c>
      <c r="E646" s="28" t="str">
        <f t="shared" si="41"/>
        <v>14-20</v>
      </c>
      <c r="F646" s="28" t="str">
        <f t="shared" si="41"/>
        <v>21-27</v>
      </c>
      <c r="G646" s="28" t="str">
        <f t="shared" si="41"/>
        <v>28-31</v>
      </c>
      <c r="H646" s="28" t="str">
        <f t="shared" si="41"/>
        <v>1-10</v>
      </c>
      <c r="I646" s="28" t="str">
        <f t="shared" si="41"/>
        <v>11-17</v>
      </c>
      <c r="J646" s="28" t="str">
        <f t="shared" si="41"/>
        <v>18-24</v>
      </c>
      <c r="K646" s="28" t="str">
        <f t="shared" si="41"/>
        <v>25-31</v>
      </c>
      <c r="L646" s="28" t="str">
        <f t="shared" si="41"/>
        <v>1-7</v>
      </c>
      <c r="M646" s="28" t="str">
        <f t="shared" si="41"/>
        <v>8-14</v>
      </c>
      <c r="N646" s="28" t="str">
        <f t="shared" si="41"/>
        <v>15-21</v>
      </c>
      <c r="O646" s="28" t="str">
        <f t="shared" si="41"/>
        <v>22-30</v>
      </c>
      <c r="P646" s="28" t="str">
        <f t="shared" si="41"/>
        <v>1-5</v>
      </c>
      <c r="Q646" s="28" t="str">
        <f t="shared" si="41"/>
        <v>6-12</v>
      </c>
      <c r="R646" s="28" t="str">
        <f t="shared" si="41"/>
        <v>13-19</v>
      </c>
      <c r="S646" s="28" t="str">
        <f t="shared" si="41"/>
        <v>20-26</v>
      </c>
      <c r="T646" s="28" t="str">
        <f t="shared" si="41"/>
        <v>27-31</v>
      </c>
      <c r="U646" s="28" t="str">
        <f t="shared" si="41"/>
        <v>1-9</v>
      </c>
      <c r="V646" s="28" t="str">
        <f t="shared" si="41"/>
        <v>10-16</v>
      </c>
      <c r="W646" s="28" t="str">
        <f t="shared" si="41"/>
        <v>17-23</v>
      </c>
      <c r="X646" s="28" t="str">
        <f t="shared" si="41"/>
        <v>24-30</v>
      </c>
      <c r="Y646" s="28" t="str">
        <f t="shared" si="41"/>
        <v>1-7</v>
      </c>
      <c r="Z646" s="28" t="str">
        <f t="shared" si="41"/>
        <v>8-14</v>
      </c>
      <c r="AA646" s="28" t="str">
        <f t="shared" si="41"/>
        <v>15-21</v>
      </c>
      <c r="AB646" s="28" t="str">
        <f t="shared" si="41"/>
        <v>22-28</v>
      </c>
      <c r="AC646" s="28" t="str">
        <f t="shared" si="41"/>
        <v>29-31</v>
      </c>
    </row>
    <row r="647" spans="1:29" ht="18" x14ac:dyDescent="0.2">
      <c r="A647" s="34"/>
      <c r="B647" s="26" t="s">
        <v>4</v>
      </c>
      <c r="C647" s="22" t="s">
        <v>12</v>
      </c>
      <c r="D647" s="22" t="s">
        <v>12</v>
      </c>
      <c r="E647" s="22" t="s">
        <v>12</v>
      </c>
      <c r="F647" s="22" t="s">
        <v>12</v>
      </c>
      <c r="G647" s="22" t="s">
        <v>12</v>
      </c>
      <c r="H647" s="22" t="s">
        <v>12</v>
      </c>
      <c r="I647" s="22" t="s">
        <v>12</v>
      </c>
      <c r="J647" s="22" t="s">
        <v>12</v>
      </c>
      <c r="K647" s="22" t="s">
        <v>12</v>
      </c>
      <c r="L647" s="22" t="s">
        <v>12</v>
      </c>
      <c r="M647" s="22" t="s">
        <v>12</v>
      </c>
      <c r="N647" s="22" t="s">
        <v>12</v>
      </c>
      <c r="O647" s="22" t="s">
        <v>12</v>
      </c>
      <c r="P647" s="22" t="s">
        <v>12</v>
      </c>
      <c r="Q647" s="22" t="s">
        <v>12</v>
      </c>
      <c r="R647" s="22" t="s">
        <v>12</v>
      </c>
      <c r="S647" s="22" t="s">
        <v>12</v>
      </c>
      <c r="T647" s="22" t="s">
        <v>12</v>
      </c>
      <c r="U647" s="22" t="s">
        <v>12</v>
      </c>
      <c r="V647" s="22" t="s">
        <v>12</v>
      </c>
      <c r="W647" s="22" t="s">
        <v>12</v>
      </c>
      <c r="X647" s="22" t="s">
        <v>12</v>
      </c>
      <c r="Y647" s="22" t="s">
        <v>12</v>
      </c>
      <c r="Z647" s="22" t="s">
        <v>12</v>
      </c>
      <c r="AA647" s="22" t="s">
        <v>12</v>
      </c>
      <c r="AB647" s="22" t="s">
        <v>12</v>
      </c>
      <c r="AC647" s="22" t="s">
        <v>12</v>
      </c>
    </row>
    <row r="648" spans="1:29" ht="18.75" customHeight="1" x14ac:dyDescent="0.2">
      <c r="A648" s="70" t="s">
        <v>105</v>
      </c>
      <c r="B648" s="27" t="s">
        <v>5</v>
      </c>
      <c r="C648" s="28"/>
      <c r="D648" s="29"/>
      <c r="E648" s="28"/>
      <c r="F648" s="29"/>
      <c r="G648" s="29"/>
      <c r="H648" s="28"/>
      <c r="I648" s="28"/>
      <c r="J648" s="28"/>
      <c r="K648" s="29"/>
      <c r="L648" s="28"/>
      <c r="M648" s="29"/>
      <c r="N648" s="28"/>
      <c r="O648" s="29"/>
      <c r="P648" s="28"/>
      <c r="Q648" s="28"/>
      <c r="R648" s="28"/>
      <c r="S648" s="28"/>
      <c r="T648" s="29"/>
      <c r="U648" s="29"/>
      <c r="V648" s="28"/>
      <c r="W648" s="28"/>
      <c r="X648" s="29"/>
      <c r="Y648" s="28"/>
      <c r="Z648" s="28"/>
      <c r="AA648" s="28"/>
      <c r="AB648" s="22"/>
      <c r="AC648" s="29"/>
    </row>
    <row r="649" spans="1:29" ht="18" x14ac:dyDescent="0.2">
      <c r="A649" s="70"/>
      <c r="B649" s="27" t="s">
        <v>6</v>
      </c>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row>
    <row r="650" spans="1:29" ht="18" x14ac:dyDescent="0.2">
      <c r="A650" s="70"/>
      <c r="B650" s="27" t="s">
        <v>3</v>
      </c>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row>
    <row r="651" spans="1:29" ht="18.75" customHeight="1" x14ac:dyDescent="0.2">
      <c r="A651" s="70"/>
      <c r="B651" s="27" t="s">
        <v>5</v>
      </c>
      <c r="C651" s="29"/>
      <c r="D651" s="28"/>
      <c r="E651" s="28"/>
      <c r="F651" s="35"/>
      <c r="G651" s="29"/>
      <c r="H651" s="28"/>
      <c r="I651" s="28"/>
      <c r="J651" s="28"/>
      <c r="K651" s="28"/>
      <c r="L651" s="28"/>
      <c r="M651" s="28"/>
      <c r="N651" s="28"/>
      <c r="O651" s="28"/>
      <c r="P651" s="28"/>
      <c r="Q651" s="28"/>
      <c r="R651" s="28"/>
      <c r="S651" s="28"/>
      <c r="T651" s="29"/>
      <c r="U651" s="28"/>
      <c r="V651" s="28"/>
      <c r="W651" s="28"/>
      <c r="X651" s="28"/>
      <c r="Y651" s="28"/>
      <c r="Z651" s="28"/>
      <c r="AA651" s="28"/>
      <c r="AB651" s="22"/>
      <c r="AC651" s="28"/>
    </row>
    <row r="652" spans="1:29" ht="18" x14ac:dyDescent="0.2">
      <c r="A652" s="70"/>
      <c r="B652" s="27" t="s">
        <v>6</v>
      </c>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row>
    <row r="653" spans="1:29" ht="18" x14ac:dyDescent="0.2">
      <c r="A653" s="70"/>
      <c r="B653" s="27" t="s">
        <v>3</v>
      </c>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row>
    <row r="654" spans="1:29" ht="18.75" customHeight="1" x14ac:dyDescent="0.2">
      <c r="A654" s="70"/>
      <c r="B654" s="27" t="s">
        <v>5</v>
      </c>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2"/>
      <c r="AC654" s="28"/>
    </row>
    <row r="655" spans="1:29" ht="18" x14ac:dyDescent="0.2">
      <c r="A655" s="70"/>
      <c r="B655" s="27" t="s">
        <v>6</v>
      </c>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row>
    <row r="656" spans="1:29" ht="18" x14ac:dyDescent="0.2">
      <c r="A656" s="70"/>
      <c r="B656" s="27" t="s">
        <v>3</v>
      </c>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row>
    <row r="657" spans="1:29" ht="18" x14ac:dyDescent="0.4">
      <c r="A657" s="4" t="s">
        <v>219</v>
      </c>
      <c r="B657" s="4"/>
      <c r="C657" s="4"/>
      <c r="D657" s="4"/>
      <c r="E657" s="4"/>
      <c r="F657" s="4"/>
      <c r="G657" s="4"/>
      <c r="H657" s="4"/>
      <c r="I657" s="4"/>
      <c r="J657" s="4"/>
      <c r="K657" s="4"/>
      <c r="L657" s="4"/>
      <c r="M657" s="4"/>
      <c r="N657" s="4"/>
      <c r="O657" s="4"/>
      <c r="P657" s="4"/>
      <c r="Q657" s="4"/>
      <c r="R657" s="4"/>
      <c r="S657" s="4"/>
      <c r="T657" s="4"/>
      <c r="U657" s="4"/>
      <c r="V657" s="4"/>
      <c r="W657" s="71" t="s">
        <v>173</v>
      </c>
      <c r="X657" s="71"/>
      <c r="Y657" s="71"/>
      <c r="Z657" s="71"/>
      <c r="AA657" s="71"/>
      <c r="AB657" s="71"/>
      <c r="AC657" s="71"/>
    </row>
    <row r="658" spans="1:29" ht="18" x14ac:dyDescent="0.4">
      <c r="A658" s="7" t="s">
        <v>238</v>
      </c>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spans="1:29" ht="18" x14ac:dyDescent="0.4">
      <c r="A659" s="9" t="s">
        <v>206</v>
      </c>
      <c r="B659" s="9"/>
      <c r="C659" s="9"/>
      <c r="D659" s="9"/>
      <c r="E659" s="9"/>
      <c r="F659" s="9"/>
      <c r="G659" s="9"/>
      <c r="H659" s="9"/>
      <c r="I659" s="9"/>
      <c r="J659" s="9"/>
      <c r="K659" s="9"/>
      <c r="L659" s="9"/>
      <c r="M659" s="9"/>
      <c r="N659" s="9"/>
      <c r="O659" s="9"/>
      <c r="P659" s="72" t="s">
        <v>28</v>
      </c>
      <c r="Q659" s="72"/>
      <c r="R659" s="73" t="str">
        <f>R629</f>
        <v>พีรวัส</v>
      </c>
      <c r="S659" s="73"/>
      <c r="T659" s="73"/>
      <c r="U659" s="72" t="s">
        <v>30</v>
      </c>
      <c r="V659" s="72"/>
      <c r="W659" s="73" t="str">
        <f>W629</f>
        <v>วรพงศ์</v>
      </c>
      <c r="X659" s="73"/>
      <c r="Y659" s="73"/>
      <c r="Z659" s="8" t="s">
        <v>29</v>
      </c>
      <c r="AA659" s="74">
        <f>AA629</f>
        <v>46021</v>
      </c>
      <c r="AB659" s="74"/>
      <c r="AC659" s="74"/>
    </row>
    <row r="660" spans="1:29" ht="18" customHeight="1" x14ac:dyDescent="0.2"/>
    <row r="661" spans="1:29" ht="23.25" x14ac:dyDescent="0.5">
      <c r="A661" s="80" t="s">
        <v>26</v>
      </c>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c r="AA661" s="80"/>
      <c r="AB661" s="80"/>
      <c r="AC661" s="80"/>
    </row>
    <row r="662" spans="1:29" ht="21" x14ac:dyDescent="0.45">
      <c r="A662" s="6" t="s">
        <v>22</v>
      </c>
      <c r="B662" s="81" t="s">
        <v>106</v>
      </c>
      <c r="C662" s="81"/>
      <c r="D662" s="81"/>
      <c r="E662" s="81"/>
      <c r="F662" s="81"/>
      <c r="G662" s="81"/>
      <c r="H662" s="6" t="s">
        <v>24</v>
      </c>
      <c r="I662" s="84" t="s">
        <v>107</v>
      </c>
      <c r="J662" s="84"/>
      <c r="K662" s="84"/>
      <c r="L662" s="84"/>
      <c r="M662" s="83" t="s">
        <v>25</v>
      </c>
      <c r="N662" s="83"/>
      <c r="O662" s="81" t="s">
        <v>108</v>
      </c>
      <c r="P662" s="81"/>
      <c r="Q662" s="81"/>
      <c r="R662" s="81"/>
      <c r="S662" s="81"/>
      <c r="T662" s="6" t="s">
        <v>20</v>
      </c>
      <c r="U662" s="81">
        <f>$U$2</f>
        <v>2569</v>
      </c>
      <c r="V662" s="81"/>
      <c r="W662" s="83" t="s">
        <v>35</v>
      </c>
      <c r="X662" s="83"/>
      <c r="Y662" s="83"/>
      <c r="Z662" s="4" t="s">
        <v>21</v>
      </c>
      <c r="AA662" s="1"/>
      <c r="AB662" s="1"/>
      <c r="AC662" s="1"/>
    </row>
    <row r="663" spans="1:29" ht="18" x14ac:dyDescent="0.2">
      <c r="A663" s="20" t="s">
        <v>0</v>
      </c>
      <c r="B663" s="21" t="s">
        <v>2</v>
      </c>
      <c r="C663" s="75" t="s">
        <v>32</v>
      </c>
      <c r="D663" s="75"/>
      <c r="E663" s="75"/>
      <c r="F663" s="75"/>
      <c r="G663" s="75"/>
      <c r="H663" s="75" t="s">
        <v>7</v>
      </c>
      <c r="I663" s="75"/>
      <c r="J663" s="75"/>
      <c r="K663" s="75"/>
      <c r="L663" s="77" t="s">
        <v>8</v>
      </c>
      <c r="M663" s="78"/>
      <c r="N663" s="78"/>
      <c r="O663" s="79"/>
      <c r="P663" s="77" t="s">
        <v>9</v>
      </c>
      <c r="Q663" s="78"/>
      <c r="R663" s="78"/>
      <c r="S663" s="78"/>
      <c r="T663" s="79"/>
      <c r="U663" s="75" t="s">
        <v>10</v>
      </c>
      <c r="V663" s="75"/>
      <c r="W663" s="75"/>
      <c r="X663" s="75"/>
      <c r="Y663" s="75"/>
      <c r="Z663" s="75" t="s">
        <v>11</v>
      </c>
      <c r="AA663" s="75"/>
      <c r="AB663" s="75"/>
      <c r="AC663" s="75"/>
    </row>
    <row r="664" spans="1:29" ht="18" x14ac:dyDescent="0.2">
      <c r="A664" s="23" t="s">
        <v>1</v>
      </c>
      <c r="B664" s="24" t="s">
        <v>3</v>
      </c>
      <c r="C664" s="28" t="str">
        <f>C634</f>
        <v>1-5</v>
      </c>
      <c r="D664" s="28" t="str">
        <f t="shared" ref="D664:AC664" si="42">D634</f>
        <v>6-12</v>
      </c>
      <c r="E664" s="28" t="str">
        <f t="shared" si="42"/>
        <v>13-19</v>
      </c>
      <c r="F664" s="28" t="str">
        <f t="shared" si="42"/>
        <v>20-26</v>
      </c>
      <c r="G664" s="28" t="str">
        <f t="shared" si="42"/>
        <v>27-31</v>
      </c>
      <c r="H664" s="28" t="str">
        <f t="shared" si="42"/>
        <v>1-9</v>
      </c>
      <c r="I664" s="28" t="str">
        <f t="shared" si="42"/>
        <v>10-16</v>
      </c>
      <c r="J664" s="28" t="str">
        <f t="shared" si="42"/>
        <v>17-23</v>
      </c>
      <c r="K664" s="28" t="str">
        <f t="shared" si="42"/>
        <v>24-28</v>
      </c>
      <c r="L664" s="28" t="str">
        <f t="shared" si="42"/>
        <v>1-9</v>
      </c>
      <c r="M664" s="28" t="str">
        <f t="shared" si="42"/>
        <v>10-16</v>
      </c>
      <c r="N664" s="28" t="str">
        <f t="shared" si="42"/>
        <v>17-23</v>
      </c>
      <c r="O664" s="28" t="str">
        <f t="shared" si="42"/>
        <v>24-31</v>
      </c>
      <c r="P664" s="28" t="str">
        <f t="shared" si="42"/>
        <v>1-6</v>
      </c>
      <c r="Q664" s="28" t="str">
        <f t="shared" si="42"/>
        <v>7-13</v>
      </c>
      <c r="R664" s="28" t="str">
        <f t="shared" si="42"/>
        <v>14-20</v>
      </c>
      <c r="S664" s="28" t="str">
        <f t="shared" si="42"/>
        <v>21-27</v>
      </c>
      <c r="T664" s="28" t="str">
        <f t="shared" si="42"/>
        <v>28-30</v>
      </c>
      <c r="U664" s="28" t="str">
        <f t="shared" si="42"/>
        <v>1-4</v>
      </c>
      <c r="V664" s="28" t="str">
        <f t="shared" si="42"/>
        <v>5-11</v>
      </c>
      <c r="W664" s="28" t="str">
        <f t="shared" si="42"/>
        <v>12-18</v>
      </c>
      <c r="X664" s="28" t="str">
        <f t="shared" si="42"/>
        <v>19-25</v>
      </c>
      <c r="Y664" s="28" t="str">
        <f t="shared" si="42"/>
        <v>26-31</v>
      </c>
      <c r="Z664" s="28" t="str">
        <f t="shared" si="42"/>
        <v>1-8</v>
      </c>
      <c r="AA664" s="28" t="str">
        <f t="shared" si="42"/>
        <v>9-15</v>
      </c>
      <c r="AB664" s="28" t="str">
        <f t="shared" si="42"/>
        <v>16-22</v>
      </c>
      <c r="AC664" s="28" t="str">
        <f t="shared" si="42"/>
        <v>23-30</v>
      </c>
    </row>
    <row r="665" spans="1:29" ht="18" x14ac:dyDescent="0.2">
      <c r="A665" s="25"/>
      <c r="B665" s="26" t="s">
        <v>4</v>
      </c>
      <c r="C665" s="22" t="s">
        <v>12</v>
      </c>
      <c r="D665" s="22" t="s">
        <v>12</v>
      </c>
      <c r="E665" s="22" t="s">
        <v>12</v>
      </c>
      <c r="F665" s="22" t="s">
        <v>12</v>
      </c>
      <c r="G665" s="22" t="s">
        <v>12</v>
      </c>
      <c r="H665" s="22" t="s">
        <v>12</v>
      </c>
      <c r="I665" s="22" t="s">
        <v>12</v>
      </c>
      <c r="J665" s="22" t="s">
        <v>12</v>
      </c>
      <c r="K665" s="22" t="s">
        <v>12</v>
      </c>
      <c r="L665" s="22" t="s">
        <v>12</v>
      </c>
      <c r="M665" s="22" t="s">
        <v>12</v>
      </c>
      <c r="N665" s="22" t="s">
        <v>12</v>
      </c>
      <c r="O665" s="22" t="s">
        <v>12</v>
      </c>
      <c r="P665" s="22" t="s">
        <v>12</v>
      </c>
      <c r="Q665" s="22" t="s">
        <v>12</v>
      </c>
      <c r="R665" s="22" t="s">
        <v>12</v>
      </c>
      <c r="S665" s="22" t="s">
        <v>12</v>
      </c>
      <c r="T665" s="22" t="s">
        <v>12</v>
      </c>
      <c r="U665" s="22" t="s">
        <v>12</v>
      </c>
      <c r="V665" s="22" t="s">
        <v>12</v>
      </c>
      <c r="W665" s="22" t="s">
        <v>12</v>
      </c>
      <c r="X665" s="22" t="s">
        <v>12</v>
      </c>
      <c r="Y665" s="22" t="s">
        <v>12</v>
      </c>
      <c r="Z665" s="22" t="s">
        <v>12</v>
      </c>
      <c r="AA665" s="22" t="s">
        <v>12</v>
      </c>
      <c r="AB665" s="22" t="s">
        <v>12</v>
      </c>
      <c r="AC665" s="22" t="s">
        <v>12</v>
      </c>
    </row>
    <row r="666" spans="1:29" ht="18.75" customHeight="1" x14ac:dyDescent="0.2">
      <c r="A666" s="70" t="s">
        <v>264</v>
      </c>
      <c r="B666" s="27" t="s">
        <v>5</v>
      </c>
      <c r="C666" s="28"/>
      <c r="D666" s="29"/>
      <c r="E666" s="28"/>
      <c r="F666" s="28"/>
      <c r="G666" s="29" t="s">
        <v>60</v>
      </c>
      <c r="H666" s="28"/>
      <c r="I666" s="28"/>
      <c r="J666" s="29"/>
      <c r="K666" s="29" t="s">
        <v>60</v>
      </c>
      <c r="L666" s="28"/>
      <c r="M666" s="28"/>
      <c r="N666" s="29"/>
      <c r="O666" s="29" t="s">
        <v>60</v>
      </c>
      <c r="P666" s="29"/>
      <c r="Q666" s="28"/>
      <c r="R666" s="28"/>
      <c r="S666" s="29"/>
      <c r="T666" s="29" t="s">
        <v>60</v>
      </c>
      <c r="U666" s="28"/>
      <c r="V666" s="28"/>
      <c r="W666" s="29"/>
      <c r="X666" s="28"/>
      <c r="Y666" s="29" t="s">
        <v>60</v>
      </c>
      <c r="Z666" s="28"/>
      <c r="AA666" s="28"/>
      <c r="AB666" s="22"/>
      <c r="AC666" s="29" t="s">
        <v>60</v>
      </c>
    </row>
    <row r="667" spans="1:29" ht="18" x14ac:dyDescent="0.2">
      <c r="A667" s="70"/>
      <c r="B667" s="27" t="s">
        <v>6</v>
      </c>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row>
    <row r="668" spans="1:29" ht="18" x14ac:dyDescent="0.2">
      <c r="A668" s="70"/>
      <c r="B668" s="27" t="s">
        <v>3</v>
      </c>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row>
    <row r="669" spans="1:29" ht="18.75" customHeight="1" x14ac:dyDescent="0.2">
      <c r="A669" s="70"/>
      <c r="B669" s="27" t="s">
        <v>5</v>
      </c>
      <c r="C669" s="35"/>
      <c r="D669" s="28"/>
      <c r="E669" s="35"/>
      <c r="F669" s="35"/>
      <c r="G669" s="29"/>
      <c r="H669" s="28"/>
      <c r="I669" s="28"/>
      <c r="J669" s="28"/>
      <c r="K669" s="29"/>
      <c r="L669" s="28"/>
      <c r="M669" s="28"/>
      <c r="N669" s="28"/>
      <c r="O669" s="28"/>
      <c r="P669" s="29"/>
      <c r="Q669" s="28"/>
      <c r="R669" s="28"/>
      <c r="S669" s="28"/>
      <c r="T669" s="29"/>
      <c r="U669" s="28"/>
      <c r="V669" s="28"/>
      <c r="W669" s="28"/>
      <c r="X669" s="28"/>
      <c r="Y669" s="29"/>
      <c r="Z669" s="28"/>
      <c r="AA669" s="28"/>
      <c r="AB669" s="22"/>
      <c r="AC669" s="29"/>
    </row>
    <row r="670" spans="1:29" ht="18" x14ac:dyDescent="0.2">
      <c r="A670" s="70"/>
      <c r="B670" s="27" t="s">
        <v>6</v>
      </c>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row>
    <row r="671" spans="1:29" ht="18" x14ac:dyDescent="0.2">
      <c r="A671" s="70"/>
      <c r="B671" s="27" t="s">
        <v>3</v>
      </c>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row>
    <row r="672" spans="1:29" ht="18.75" customHeight="1" x14ac:dyDescent="0.2">
      <c r="A672" s="70"/>
      <c r="B672" s="27" t="s">
        <v>5</v>
      </c>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2"/>
      <c r="AC672" s="28"/>
    </row>
    <row r="673" spans="1:29" ht="18" x14ac:dyDescent="0.2">
      <c r="A673" s="70"/>
      <c r="B673" s="27" t="s">
        <v>6</v>
      </c>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row>
    <row r="674" spans="1:29" ht="18" x14ac:dyDescent="0.2">
      <c r="A674" s="70"/>
      <c r="B674" s="27" t="s">
        <v>3</v>
      </c>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row>
    <row r="675" spans="1:29" ht="18" x14ac:dyDescent="0.2">
      <c r="A675" s="20" t="s">
        <v>0</v>
      </c>
      <c r="B675" s="21" t="s">
        <v>2</v>
      </c>
      <c r="C675" s="76" t="s">
        <v>13</v>
      </c>
      <c r="D675" s="76"/>
      <c r="E675" s="76"/>
      <c r="F675" s="76"/>
      <c r="G675" s="76"/>
      <c r="H675" s="76" t="s">
        <v>14</v>
      </c>
      <c r="I675" s="76"/>
      <c r="J675" s="76"/>
      <c r="K675" s="76"/>
      <c r="L675" s="76" t="s">
        <v>15</v>
      </c>
      <c r="M675" s="76"/>
      <c r="N675" s="76"/>
      <c r="O675" s="76"/>
      <c r="P675" s="76" t="s">
        <v>16</v>
      </c>
      <c r="Q675" s="76"/>
      <c r="R675" s="76"/>
      <c r="S675" s="76"/>
      <c r="T675" s="76"/>
      <c r="U675" s="76" t="s">
        <v>17</v>
      </c>
      <c r="V675" s="76"/>
      <c r="W675" s="76"/>
      <c r="X675" s="76"/>
      <c r="Y675" s="76" t="s">
        <v>18</v>
      </c>
      <c r="Z675" s="76"/>
      <c r="AA675" s="76"/>
      <c r="AB675" s="76"/>
      <c r="AC675" s="76"/>
    </row>
    <row r="676" spans="1:29" ht="18" x14ac:dyDescent="0.2">
      <c r="A676" s="20" t="s">
        <v>1</v>
      </c>
      <c r="B676" s="24" t="s">
        <v>3</v>
      </c>
      <c r="C676" s="28" t="str">
        <f>C646</f>
        <v>1-6</v>
      </c>
      <c r="D676" s="28" t="str">
        <f t="shared" ref="D676:AC676" si="43">D646</f>
        <v>7-13</v>
      </c>
      <c r="E676" s="28" t="str">
        <f t="shared" si="43"/>
        <v>14-20</v>
      </c>
      <c r="F676" s="28" t="str">
        <f t="shared" si="43"/>
        <v>21-27</v>
      </c>
      <c r="G676" s="28" t="str">
        <f t="shared" si="43"/>
        <v>28-31</v>
      </c>
      <c r="H676" s="28" t="str">
        <f t="shared" si="43"/>
        <v>1-10</v>
      </c>
      <c r="I676" s="28" t="str">
        <f t="shared" si="43"/>
        <v>11-17</v>
      </c>
      <c r="J676" s="28" t="str">
        <f t="shared" si="43"/>
        <v>18-24</v>
      </c>
      <c r="K676" s="28" t="str">
        <f t="shared" si="43"/>
        <v>25-31</v>
      </c>
      <c r="L676" s="28" t="str">
        <f t="shared" si="43"/>
        <v>1-7</v>
      </c>
      <c r="M676" s="28" t="str">
        <f t="shared" si="43"/>
        <v>8-14</v>
      </c>
      <c r="N676" s="28" t="str">
        <f t="shared" si="43"/>
        <v>15-21</v>
      </c>
      <c r="O676" s="28" t="str">
        <f t="shared" si="43"/>
        <v>22-30</v>
      </c>
      <c r="P676" s="28" t="str">
        <f t="shared" si="43"/>
        <v>1-5</v>
      </c>
      <c r="Q676" s="28" t="str">
        <f t="shared" si="43"/>
        <v>6-12</v>
      </c>
      <c r="R676" s="28" t="str">
        <f t="shared" si="43"/>
        <v>13-19</v>
      </c>
      <c r="S676" s="28" t="str">
        <f t="shared" si="43"/>
        <v>20-26</v>
      </c>
      <c r="T676" s="28" t="str">
        <f t="shared" si="43"/>
        <v>27-31</v>
      </c>
      <c r="U676" s="28" t="str">
        <f t="shared" si="43"/>
        <v>1-9</v>
      </c>
      <c r="V676" s="28" t="str">
        <f t="shared" si="43"/>
        <v>10-16</v>
      </c>
      <c r="W676" s="28" t="str">
        <f t="shared" si="43"/>
        <v>17-23</v>
      </c>
      <c r="X676" s="28" t="str">
        <f t="shared" si="43"/>
        <v>24-30</v>
      </c>
      <c r="Y676" s="28" t="str">
        <f t="shared" si="43"/>
        <v>1-7</v>
      </c>
      <c r="Z676" s="28" t="str">
        <f t="shared" si="43"/>
        <v>8-14</v>
      </c>
      <c r="AA676" s="28" t="str">
        <f t="shared" si="43"/>
        <v>15-21</v>
      </c>
      <c r="AB676" s="28" t="str">
        <f t="shared" si="43"/>
        <v>22-28</v>
      </c>
      <c r="AC676" s="28" t="str">
        <f t="shared" si="43"/>
        <v>29-31</v>
      </c>
    </row>
    <row r="677" spans="1:29" ht="18" x14ac:dyDescent="0.2">
      <c r="A677" s="34"/>
      <c r="B677" s="26" t="s">
        <v>4</v>
      </c>
      <c r="C677" s="22" t="s">
        <v>12</v>
      </c>
      <c r="D677" s="22" t="s">
        <v>12</v>
      </c>
      <c r="E677" s="22" t="s">
        <v>12</v>
      </c>
      <c r="F677" s="22" t="s">
        <v>12</v>
      </c>
      <c r="G677" s="22" t="s">
        <v>12</v>
      </c>
      <c r="H677" s="22" t="s">
        <v>12</v>
      </c>
      <c r="I677" s="22" t="s">
        <v>12</v>
      </c>
      <c r="J677" s="22" t="s">
        <v>12</v>
      </c>
      <c r="K677" s="22" t="s">
        <v>12</v>
      </c>
      <c r="L677" s="22" t="s">
        <v>12</v>
      </c>
      <c r="M677" s="22" t="s">
        <v>12</v>
      </c>
      <c r="N677" s="22" t="s">
        <v>12</v>
      </c>
      <c r="O677" s="22" t="s">
        <v>12</v>
      </c>
      <c r="P677" s="22" t="s">
        <v>12</v>
      </c>
      <c r="Q677" s="22" t="s">
        <v>12</v>
      </c>
      <c r="R677" s="22" t="s">
        <v>12</v>
      </c>
      <c r="S677" s="22" t="s">
        <v>12</v>
      </c>
      <c r="T677" s="22" t="s">
        <v>12</v>
      </c>
      <c r="U677" s="22" t="s">
        <v>12</v>
      </c>
      <c r="V677" s="22" t="s">
        <v>12</v>
      </c>
      <c r="W677" s="22" t="s">
        <v>12</v>
      </c>
      <c r="X677" s="22" t="s">
        <v>12</v>
      </c>
      <c r="Y677" s="22" t="s">
        <v>12</v>
      </c>
      <c r="Z677" s="22" t="s">
        <v>12</v>
      </c>
      <c r="AA677" s="22" t="s">
        <v>12</v>
      </c>
      <c r="AB677" s="22" t="s">
        <v>12</v>
      </c>
      <c r="AC677" s="22" t="s">
        <v>12</v>
      </c>
    </row>
    <row r="678" spans="1:29" ht="18.75" customHeight="1" x14ac:dyDescent="0.2">
      <c r="A678" s="70" t="s">
        <v>264</v>
      </c>
      <c r="B678" s="27" t="s">
        <v>5</v>
      </c>
      <c r="C678" s="28"/>
      <c r="D678" s="29"/>
      <c r="E678" s="28"/>
      <c r="F678" s="28"/>
      <c r="G678" s="29" t="s">
        <v>60</v>
      </c>
      <c r="H678" s="28"/>
      <c r="I678" s="28"/>
      <c r="J678" s="28"/>
      <c r="K678" s="29" t="s">
        <v>60</v>
      </c>
      <c r="L678" s="28"/>
      <c r="M678" s="29"/>
      <c r="N678" s="28"/>
      <c r="O678" s="29" t="s">
        <v>60</v>
      </c>
      <c r="P678" s="28"/>
      <c r="Q678" s="28"/>
      <c r="R678" s="28"/>
      <c r="S678" s="28"/>
      <c r="T678" s="29" t="s">
        <v>60</v>
      </c>
      <c r="U678" s="29"/>
      <c r="V678" s="28"/>
      <c r="W678" s="28"/>
      <c r="X678" s="29" t="s">
        <v>60</v>
      </c>
      <c r="Y678" s="28"/>
      <c r="Z678" s="28"/>
      <c r="AA678" s="28"/>
      <c r="AB678" s="22"/>
      <c r="AC678" s="29" t="s">
        <v>60</v>
      </c>
    </row>
    <row r="679" spans="1:29" ht="18" x14ac:dyDescent="0.2">
      <c r="A679" s="70"/>
      <c r="B679" s="27" t="s">
        <v>6</v>
      </c>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row>
    <row r="680" spans="1:29" ht="18" x14ac:dyDescent="0.2">
      <c r="A680" s="70"/>
      <c r="B680" s="27" t="s">
        <v>3</v>
      </c>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row>
    <row r="681" spans="1:29" ht="18.75" customHeight="1" x14ac:dyDescent="0.2">
      <c r="A681" s="70"/>
      <c r="B681" s="27" t="s">
        <v>5</v>
      </c>
      <c r="C681" s="29"/>
      <c r="D681" s="28"/>
      <c r="E681" s="28"/>
      <c r="F681" s="35"/>
      <c r="G681" s="29"/>
      <c r="H681" s="28"/>
      <c r="I681" s="28"/>
      <c r="J681" s="28"/>
      <c r="K681" s="28"/>
      <c r="L681" s="28"/>
      <c r="M681" s="28"/>
      <c r="N681" s="28"/>
      <c r="O681" s="28"/>
      <c r="P681" s="28"/>
      <c r="Q681" s="28"/>
      <c r="R681" s="28"/>
      <c r="S681" s="28"/>
      <c r="T681" s="29"/>
      <c r="U681" s="28"/>
      <c r="V681" s="28"/>
      <c r="W681" s="28"/>
      <c r="X681" s="28"/>
      <c r="Y681" s="28"/>
      <c r="Z681" s="28"/>
      <c r="AA681" s="28"/>
      <c r="AB681" s="22"/>
      <c r="AC681" s="28"/>
    </row>
    <row r="682" spans="1:29" ht="18" x14ac:dyDescent="0.2">
      <c r="A682" s="70"/>
      <c r="B682" s="27" t="s">
        <v>6</v>
      </c>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row>
    <row r="683" spans="1:29" ht="18" x14ac:dyDescent="0.2">
      <c r="A683" s="70"/>
      <c r="B683" s="27" t="s">
        <v>3</v>
      </c>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row>
    <row r="684" spans="1:29" ht="18.75" customHeight="1" x14ac:dyDescent="0.2">
      <c r="A684" s="70"/>
      <c r="B684" s="27" t="s">
        <v>5</v>
      </c>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2"/>
      <c r="AC684" s="28"/>
    </row>
    <row r="685" spans="1:29" ht="18" x14ac:dyDescent="0.2">
      <c r="A685" s="70"/>
      <c r="B685" s="27" t="s">
        <v>6</v>
      </c>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row>
    <row r="686" spans="1:29" ht="18" x14ac:dyDescent="0.2">
      <c r="A686" s="70"/>
      <c r="B686" s="27" t="s">
        <v>3</v>
      </c>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row>
    <row r="687" spans="1:29" ht="18" x14ac:dyDescent="0.4">
      <c r="A687" s="4" t="s">
        <v>219</v>
      </c>
      <c r="B687" s="4"/>
      <c r="C687" s="4"/>
      <c r="D687" s="4"/>
      <c r="E687" s="4"/>
      <c r="F687" s="4"/>
      <c r="G687" s="4"/>
      <c r="H687" s="4"/>
      <c r="I687" s="4"/>
      <c r="J687" s="4"/>
      <c r="K687" s="4"/>
      <c r="L687" s="4"/>
      <c r="M687" s="4"/>
      <c r="N687" s="4"/>
      <c r="O687" s="4"/>
      <c r="P687" s="4"/>
      <c r="Q687" s="4"/>
      <c r="R687" s="4"/>
      <c r="S687" s="4"/>
      <c r="T687" s="4"/>
      <c r="U687" s="4"/>
      <c r="V687" s="4"/>
      <c r="W687" s="71" t="s">
        <v>173</v>
      </c>
      <c r="X687" s="71"/>
      <c r="Y687" s="71"/>
      <c r="Z687" s="71"/>
      <c r="AA687" s="71"/>
      <c r="AB687" s="71"/>
      <c r="AC687" s="71"/>
    </row>
    <row r="688" spans="1:29" ht="18" x14ac:dyDescent="0.4">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spans="1:29" ht="18" x14ac:dyDescent="0.4">
      <c r="A689" s="9"/>
      <c r="B689" s="9"/>
      <c r="C689" s="9"/>
      <c r="D689" s="9"/>
      <c r="E689" s="9"/>
      <c r="F689" s="9"/>
      <c r="G689" s="9"/>
      <c r="H689" s="9"/>
      <c r="I689" s="9"/>
      <c r="J689" s="9"/>
      <c r="K689" s="9"/>
      <c r="L689" s="9"/>
      <c r="M689" s="9"/>
      <c r="N689" s="9"/>
      <c r="O689" s="9"/>
      <c r="P689" s="72" t="s">
        <v>28</v>
      </c>
      <c r="Q689" s="72"/>
      <c r="R689" s="73" t="str">
        <f>R659</f>
        <v>พีรวัส</v>
      </c>
      <c r="S689" s="73"/>
      <c r="T689" s="73"/>
      <c r="U689" s="72" t="s">
        <v>30</v>
      </c>
      <c r="V689" s="72"/>
      <c r="W689" s="73" t="str">
        <f>W659</f>
        <v>วรพงศ์</v>
      </c>
      <c r="X689" s="73"/>
      <c r="Y689" s="73"/>
      <c r="Z689" s="8" t="s">
        <v>29</v>
      </c>
      <c r="AA689" s="74">
        <f>AA659</f>
        <v>46021</v>
      </c>
      <c r="AB689" s="74"/>
      <c r="AC689" s="74"/>
    </row>
    <row r="690" spans="1:29" ht="18" customHeight="1" x14ac:dyDescent="0.2"/>
    <row r="691" spans="1:29" ht="23.25" x14ac:dyDescent="0.5">
      <c r="A691" s="80" t="s">
        <v>26</v>
      </c>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row>
    <row r="692" spans="1:29" ht="21" x14ac:dyDescent="0.45">
      <c r="A692" s="6" t="s">
        <v>22</v>
      </c>
      <c r="B692" s="81" t="s">
        <v>109</v>
      </c>
      <c r="C692" s="81"/>
      <c r="D692" s="81"/>
      <c r="E692" s="81"/>
      <c r="F692" s="81"/>
      <c r="G692" s="81"/>
      <c r="H692" s="6" t="s">
        <v>24</v>
      </c>
      <c r="I692" s="84" t="s">
        <v>110</v>
      </c>
      <c r="J692" s="84"/>
      <c r="K692" s="84"/>
      <c r="L692" s="84"/>
      <c r="M692" s="83" t="s">
        <v>25</v>
      </c>
      <c r="N692" s="83"/>
      <c r="O692" s="81" t="s">
        <v>111</v>
      </c>
      <c r="P692" s="81"/>
      <c r="Q692" s="81"/>
      <c r="R692" s="81"/>
      <c r="S692" s="81"/>
      <c r="T692" s="6" t="s">
        <v>20</v>
      </c>
      <c r="U692" s="81">
        <f>$U$2</f>
        <v>2569</v>
      </c>
      <c r="V692" s="81"/>
      <c r="W692" s="83" t="s">
        <v>35</v>
      </c>
      <c r="X692" s="83"/>
      <c r="Y692" s="83"/>
      <c r="Z692" s="60" t="s">
        <v>311</v>
      </c>
      <c r="AA692" s="1"/>
      <c r="AB692" s="1"/>
      <c r="AC692" s="1"/>
    </row>
    <row r="693" spans="1:29" ht="18" x14ac:dyDescent="0.2">
      <c r="A693" s="20" t="s">
        <v>0</v>
      </c>
      <c r="B693" s="21" t="s">
        <v>2</v>
      </c>
      <c r="C693" s="75" t="s">
        <v>32</v>
      </c>
      <c r="D693" s="75"/>
      <c r="E693" s="75"/>
      <c r="F693" s="75"/>
      <c r="G693" s="75"/>
      <c r="H693" s="75" t="s">
        <v>7</v>
      </c>
      <c r="I693" s="75"/>
      <c r="J693" s="75"/>
      <c r="K693" s="75"/>
      <c r="L693" s="77" t="s">
        <v>8</v>
      </c>
      <c r="M693" s="78"/>
      <c r="N693" s="78"/>
      <c r="O693" s="79"/>
      <c r="P693" s="77" t="s">
        <v>9</v>
      </c>
      <c r="Q693" s="78"/>
      <c r="R693" s="78"/>
      <c r="S693" s="78"/>
      <c r="T693" s="79"/>
      <c r="U693" s="75" t="s">
        <v>10</v>
      </c>
      <c r="V693" s="75"/>
      <c r="W693" s="75"/>
      <c r="X693" s="75"/>
      <c r="Y693" s="75"/>
      <c r="Z693" s="75" t="s">
        <v>11</v>
      </c>
      <c r="AA693" s="75"/>
      <c r="AB693" s="75"/>
      <c r="AC693" s="75"/>
    </row>
    <row r="694" spans="1:29" ht="18" x14ac:dyDescent="0.2">
      <c r="A694" s="23" t="s">
        <v>1</v>
      </c>
      <c r="B694" s="24" t="s">
        <v>3</v>
      </c>
      <c r="C694" s="28" t="str">
        <f>C634</f>
        <v>1-5</v>
      </c>
      <c r="D694" s="28" t="str">
        <f t="shared" ref="D694:AC694" si="44">D634</f>
        <v>6-12</v>
      </c>
      <c r="E694" s="28" t="str">
        <f t="shared" si="44"/>
        <v>13-19</v>
      </c>
      <c r="F694" s="28" t="str">
        <f t="shared" si="44"/>
        <v>20-26</v>
      </c>
      <c r="G694" s="28" t="str">
        <f t="shared" si="44"/>
        <v>27-31</v>
      </c>
      <c r="H694" s="28" t="str">
        <f t="shared" si="44"/>
        <v>1-9</v>
      </c>
      <c r="I694" s="28" t="str">
        <f t="shared" si="44"/>
        <v>10-16</v>
      </c>
      <c r="J694" s="28" t="str">
        <f t="shared" si="44"/>
        <v>17-23</v>
      </c>
      <c r="K694" s="28" t="str">
        <f t="shared" si="44"/>
        <v>24-28</v>
      </c>
      <c r="L694" s="28" t="str">
        <f t="shared" si="44"/>
        <v>1-9</v>
      </c>
      <c r="M694" s="28" t="str">
        <f t="shared" si="44"/>
        <v>10-16</v>
      </c>
      <c r="N694" s="28" t="str">
        <f t="shared" si="44"/>
        <v>17-23</v>
      </c>
      <c r="O694" s="28" t="str">
        <f t="shared" si="44"/>
        <v>24-31</v>
      </c>
      <c r="P694" s="28" t="str">
        <f t="shared" si="44"/>
        <v>1-6</v>
      </c>
      <c r="Q694" s="28" t="str">
        <f t="shared" si="44"/>
        <v>7-13</v>
      </c>
      <c r="R694" s="28" t="str">
        <f t="shared" si="44"/>
        <v>14-20</v>
      </c>
      <c r="S694" s="28" t="str">
        <f t="shared" si="44"/>
        <v>21-27</v>
      </c>
      <c r="T694" s="28" t="str">
        <f t="shared" si="44"/>
        <v>28-30</v>
      </c>
      <c r="U694" s="28" t="str">
        <f t="shared" si="44"/>
        <v>1-4</v>
      </c>
      <c r="V694" s="28" t="str">
        <f t="shared" si="44"/>
        <v>5-11</v>
      </c>
      <c r="W694" s="28" t="str">
        <f t="shared" si="44"/>
        <v>12-18</v>
      </c>
      <c r="X694" s="28" t="str">
        <f t="shared" si="44"/>
        <v>19-25</v>
      </c>
      <c r="Y694" s="28" t="str">
        <f t="shared" si="44"/>
        <v>26-31</v>
      </c>
      <c r="Z694" s="28" t="str">
        <f t="shared" si="44"/>
        <v>1-8</v>
      </c>
      <c r="AA694" s="28" t="str">
        <f t="shared" si="44"/>
        <v>9-15</v>
      </c>
      <c r="AB694" s="28" t="str">
        <f t="shared" si="44"/>
        <v>16-22</v>
      </c>
      <c r="AC694" s="28" t="str">
        <f t="shared" si="44"/>
        <v>23-30</v>
      </c>
    </row>
    <row r="695" spans="1:29" ht="18" x14ac:dyDescent="0.2">
      <c r="A695" s="25"/>
      <c r="B695" s="26" t="s">
        <v>4</v>
      </c>
      <c r="C695" s="22" t="s">
        <v>12</v>
      </c>
      <c r="D695" s="22" t="s">
        <v>12</v>
      </c>
      <c r="E695" s="22" t="s">
        <v>12</v>
      </c>
      <c r="F695" s="22" t="s">
        <v>12</v>
      </c>
      <c r="G695" s="22" t="s">
        <v>12</v>
      </c>
      <c r="H695" s="22" t="s">
        <v>12</v>
      </c>
      <c r="I695" s="22" t="s">
        <v>12</v>
      </c>
      <c r="J695" s="22" t="s">
        <v>12</v>
      </c>
      <c r="K695" s="22" t="s">
        <v>12</v>
      </c>
      <c r="L695" s="22" t="s">
        <v>12</v>
      </c>
      <c r="M695" s="22" t="s">
        <v>12</v>
      </c>
      <c r="N695" s="22" t="s">
        <v>12</v>
      </c>
      <c r="O695" s="22" t="s">
        <v>12</v>
      </c>
      <c r="P695" s="22" t="s">
        <v>12</v>
      </c>
      <c r="Q695" s="22" t="s">
        <v>12</v>
      </c>
      <c r="R695" s="22" t="s">
        <v>12</v>
      </c>
      <c r="S695" s="22" t="s">
        <v>12</v>
      </c>
      <c r="T695" s="22" t="s">
        <v>12</v>
      </c>
      <c r="U695" s="22" t="s">
        <v>12</v>
      </c>
      <c r="V695" s="22" t="s">
        <v>12</v>
      </c>
      <c r="W695" s="22" t="s">
        <v>12</v>
      </c>
      <c r="X695" s="22" t="s">
        <v>12</v>
      </c>
      <c r="Y695" s="22" t="s">
        <v>12</v>
      </c>
      <c r="Z695" s="22" t="s">
        <v>12</v>
      </c>
      <c r="AA695" s="22" t="s">
        <v>12</v>
      </c>
      <c r="AB695" s="22" t="s">
        <v>12</v>
      </c>
      <c r="AC695" s="22" t="s">
        <v>12</v>
      </c>
    </row>
    <row r="696" spans="1:29" ht="18.75" customHeight="1" x14ac:dyDescent="0.2">
      <c r="A696" s="70" t="s">
        <v>112</v>
      </c>
      <c r="B696" s="27" t="s">
        <v>5</v>
      </c>
      <c r="C696" s="28"/>
      <c r="D696" s="28"/>
      <c r="E696" s="28"/>
      <c r="F696" s="28"/>
      <c r="G696" s="29"/>
      <c r="H696" s="28"/>
      <c r="I696" s="28"/>
      <c r="J696" s="28"/>
      <c r="K696" s="29"/>
      <c r="L696" s="28"/>
      <c r="M696" s="28"/>
      <c r="N696" s="28"/>
      <c r="O696" s="28"/>
      <c r="P696" s="29"/>
      <c r="Q696" s="28"/>
      <c r="R696" s="28"/>
      <c r="S696" s="28"/>
      <c r="T696" s="29"/>
      <c r="U696" s="28"/>
      <c r="V696" s="28"/>
      <c r="W696" s="28"/>
      <c r="X696" s="28"/>
      <c r="Y696" s="29"/>
      <c r="Z696" s="28"/>
      <c r="AA696" s="28"/>
      <c r="AB696" s="22"/>
      <c r="AC696" s="29"/>
    </row>
    <row r="697" spans="1:29" ht="18" x14ac:dyDescent="0.2">
      <c r="A697" s="70"/>
      <c r="B697" s="27" t="s">
        <v>6</v>
      </c>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row>
    <row r="698" spans="1:29" ht="18" x14ac:dyDescent="0.2">
      <c r="A698" s="70"/>
      <c r="B698" s="27" t="s">
        <v>3</v>
      </c>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row>
    <row r="699" spans="1:29" ht="18.75" customHeight="1" x14ac:dyDescent="0.2">
      <c r="A699" s="70" t="s">
        <v>114</v>
      </c>
      <c r="B699" s="27" t="s">
        <v>5</v>
      </c>
      <c r="C699" s="35"/>
      <c r="D699" s="28"/>
      <c r="E699" s="35"/>
      <c r="F699" s="35"/>
      <c r="G699" s="29"/>
      <c r="H699" s="28"/>
      <c r="I699" s="28"/>
      <c r="J699" s="28"/>
      <c r="K699" s="29"/>
      <c r="L699" s="28"/>
      <c r="M699" s="28"/>
      <c r="N699" s="28"/>
      <c r="O699" s="28"/>
      <c r="P699" s="29"/>
      <c r="Q699" s="28"/>
      <c r="R699" s="28"/>
      <c r="S699" s="28"/>
      <c r="T699" s="29"/>
      <c r="U699" s="28"/>
      <c r="V699" s="28"/>
      <c r="W699" s="28"/>
      <c r="X699" s="28"/>
      <c r="Y699" s="29"/>
      <c r="Z699" s="28"/>
      <c r="AA699" s="28"/>
      <c r="AB699" s="22"/>
      <c r="AC699" s="29"/>
    </row>
    <row r="700" spans="1:29" ht="18" x14ac:dyDescent="0.2">
      <c r="A700" s="70"/>
      <c r="B700" s="27" t="s">
        <v>6</v>
      </c>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row>
    <row r="701" spans="1:29" ht="18" x14ac:dyDescent="0.2">
      <c r="A701" s="70"/>
      <c r="B701" s="27" t="s">
        <v>3</v>
      </c>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row>
    <row r="702" spans="1:29" ht="18.75" customHeight="1" x14ac:dyDescent="0.2">
      <c r="A702" s="70" t="s">
        <v>320</v>
      </c>
      <c r="B702" s="27" t="s">
        <v>5</v>
      </c>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2"/>
      <c r="AC702" s="28"/>
    </row>
    <row r="703" spans="1:29" ht="18" x14ac:dyDescent="0.2">
      <c r="A703" s="70"/>
      <c r="B703" s="27" t="s">
        <v>6</v>
      </c>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row>
    <row r="704" spans="1:29" ht="18" x14ac:dyDescent="0.2">
      <c r="A704" s="70"/>
      <c r="B704" s="27" t="s">
        <v>3</v>
      </c>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row>
    <row r="705" spans="1:29" ht="18" x14ac:dyDescent="0.2">
      <c r="A705" s="20" t="s">
        <v>0</v>
      </c>
      <c r="B705" s="21" t="s">
        <v>2</v>
      </c>
      <c r="C705" s="76" t="s">
        <v>13</v>
      </c>
      <c r="D705" s="76"/>
      <c r="E705" s="76"/>
      <c r="F705" s="76"/>
      <c r="G705" s="76"/>
      <c r="H705" s="76" t="s">
        <v>14</v>
      </c>
      <c r="I705" s="76"/>
      <c r="J705" s="76"/>
      <c r="K705" s="76"/>
      <c r="L705" s="76" t="s">
        <v>15</v>
      </c>
      <c r="M705" s="76"/>
      <c r="N705" s="76"/>
      <c r="O705" s="76"/>
      <c r="P705" s="76" t="s">
        <v>16</v>
      </c>
      <c r="Q705" s="76"/>
      <c r="R705" s="76"/>
      <c r="S705" s="76"/>
      <c r="T705" s="76"/>
      <c r="U705" s="76" t="s">
        <v>17</v>
      </c>
      <c r="V705" s="76"/>
      <c r="W705" s="76"/>
      <c r="X705" s="76"/>
      <c r="Y705" s="76" t="s">
        <v>18</v>
      </c>
      <c r="Z705" s="76"/>
      <c r="AA705" s="76"/>
      <c r="AB705" s="76"/>
      <c r="AC705" s="76"/>
    </row>
    <row r="706" spans="1:29" ht="18" x14ac:dyDescent="0.2">
      <c r="A706" s="20" t="s">
        <v>1</v>
      </c>
      <c r="B706" s="24" t="s">
        <v>3</v>
      </c>
      <c r="C706" s="28" t="str">
        <f>C646</f>
        <v>1-6</v>
      </c>
      <c r="D706" s="28" t="str">
        <f t="shared" ref="D706:AC706" si="45">D646</f>
        <v>7-13</v>
      </c>
      <c r="E706" s="28" t="str">
        <f t="shared" si="45"/>
        <v>14-20</v>
      </c>
      <c r="F706" s="28" t="str">
        <f t="shared" si="45"/>
        <v>21-27</v>
      </c>
      <c r="G706" s="28" t="str">
        <f t="shared" si="45"/>
        <v>28-31</v>
      </c>
      <c r="H706" s="28" t="str">
        <f t="shared" si="45"/>
        <v>1-10</v>
      </c>
      <c r="I706" s="28" t="str">
        <f t="shared" si="45"/>
        <v>11-17</v>
      </c>
      <c r="J706" s="28" t="str">
        <f t="shared" si="45"/>
        <v>18-24</v>
      </c>
      <c r="K706" s="28" t="str">
        <f t="shared" si="45"/>
        <v>25-31</v>
      </c>
      <c r="L706" s="28" t="str">
        <f t="shared" si="45"/>
        <v>1-7</v>
      </c>
      <c r="M706" s="28" t="str">
        <f t="shared" si="45"/>
        <v>8-14</v>
      </c>
      <c r="N706" s="28" t="str">
        <f t="shared" si="45"/>
        <v>15-21</v>
      </c>
      <c r="O706" s="28" t="str">
        <f t="shared" si="45"/>
        <v>22-30</v>
      </c>
      <c r="P706" s="28" t="str">
        <f t="shared" si="45"/>
        <v>1-5</v>
      </c>
      <c r="Q706" s="28" t="str">
        <f t="shared" si="45"/>
        <v>6-12</v>
      </c>
      <c r="R706" s="28" t="str">
        <f t="shared" si="45"/>
        <v>13-19</v>
      </c>
      <c r="S706" s="28" t="str">
        <f t="shared" si="45"/>
        <v>20-26</v>
      </c>
      <c r="T706" s="28" t="str">
        <f t="shared" si="45"/>
        <v>27-31</v>
      </c>
      <c r="U706" s="28" t="str">
        <f t="shared" si="45"/>
        <v>1-9</v>
      </c>
      <c r="V706" s="28" t="str">
        <f t="shared" si="45"/>
        <v>10-16</v>
      </c>
      <c r="W706" s="28" t="str">
        <f t="shared" si="45"/>
        <v>17-23</v>
      </c>
      <c r="X706" s="28" t="str">
        <f t="shared" si="45"/>
        <v>24-30</v>
      </c>
      <c r="Y706" s="28" t="str">
        <f t="shared" si="45"/>
        <v>1-7</v>
      </c>
      <c r="Z706" s="28" t="str">
        <f t="shared" si="45"/>
        <v>8-14</v>
      </c>
      <c r="AA706" s="28" t="str">
        <f t="shared" si="45"/>
        <v>15-21</v>
      </c>
      <c r="AB706" s="28" t="str">
        <f t="shared" si="45"/>
        <v>22-28</v>
      </c>
      <c r="AC706" s="28" t="str">
        <f t="shared" si="45"/>
        <v>29-31</v>
      </c>
    </row>
    <row r="707" spans="1:29" ht="18" x14ac:dyDescent="0.2">
      <c r="A707" s="34"/>
      <c r="B707" s="26" t="s">
        <v>4</v>
      </c>
      <c r="C707" s="22" t="s">
        <v>12</v>
      </c>
      <c r="D707" s="22" t="s">
        <v>12</v>
      </c>
      <c r="E707" s="22" t="s">
        <v>12</v>
      </c>
      <c r="F707" s="22" t="s">
        <v>12</v>
      </c>
      <c r="G707" s="22" t="s">
        <v>12</v>
      </c>
      <c r="H707" s="22" t="s">
        <v>12</v>
      </c>
      <c r="I707" s="22" t="s">
        <v>12</v>
      </c>
      <c r="J707" s="22" t="s">
        <v>12</v>
      </c>
      <c r="K707" s="22" t="s">
        <v>12</v>
      </c>
      <c r="L707" s="22" t="s">
        <v>12</v>
      </c>
      <c r="M707" s="22" t="s">
        <v>12</v>
      </c>
      <c r="N707" s="22" t="s">
        <v>12</v>
      </c>
      <c r="O707" s="22" t="s">
        <v>12</v>
      </c>
      <c r="P707" s="22" t="s">
        <v>12</v>
      </c>
      <c r="Q707" s="22" t="s">
        <v>12</v>
      </c>
      <c r="R707" s="22" t="s">
        <v>12</v>
      </c>
      <c r="S707" s="22" t="s">
        <v>12</v>
      </c>
      <c r="T707" s="22" t="s">
        <v>12</v>
      </c>
      <c r="U707" s="22" t="s">
        <v>12</v>
      </c>
      <c r="V707" s="22" t="s">
        <v>12</v>
      </c>
      <c r="W707" s="22" t="s">
        <v>12</v>
      </c>
      <c r="X707" s="22" t="s">
        <v>12</v>
      </c>
      <c r="Y707" s="22" t="s">
        <v>12</v>
      </c>
      <c r="Z707" s="22" t="s">
        <v>12</v>
      </c>
      <c r="AA707" s="22" t="s">
        <v>12</v>
      </c>
      <c r="AB707" s="22" t="s">
        <v>12</v>
      </c>
      <c r="AC707" s="22" t="s">
        <v>12</v>
      </c>
    </row>
    <row r="708" spans="1:29" ht="18.75" customHeight="1" x14ac:dyDescent="0.2">
      <c r="A708" s="70" t="s">
        <v>112</v>
      </c>
      <c r="B708" s="27" t="s">
        <v>5</v>
      </c>
      <c r="C708" s="28"/>
      <c r="D708" s="28"/>
      <c r="E708" s="28"/>
      <c r="F708" s="28"/>
      <c r="G708" s="29"/>
      <c r="H708" s="28"/>
      <c r="I708" s="28"/>
      <c r="J708" s="28"/>
      <c r="K708" s="29"/>
      <c r="L708" s="28"/>
      <c r="M708" s="28"/>
      <c r="N708" s="28"/>
      <c r="O708" s="29"/>
      <c r="P708" s="28"/>
      <c r="Q708" s="28"/>
      <c r="R708" s="28"/>
      <c r="S708" s="28"/>
      <c r="T708" s="29"/>
      <c r="U708" s="28"/>
      <c r="V708" s="28"/>
      <c r="W708" s="28"/>
      <c r="X708" s="29"/>
      <c r="Y708" s="28"/>
      <c r="Z708" s="28"/>
      <c r="AA708" s="28"/>
      <c r="AB708" s="22"/>
      <c r="AC708" s="29"/>
    </row>
    <row r="709" spans="1:29" ht="18" x14ac:dyDescent="0.2">
      <c r="A709" s="70"/>
      <c r="B709" s="27" t="s">
        <v>6</v>
      </c>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row>
    <row r="710" spans="1:29" ht="18" x14ac:dyDescent="0.2">
      <c r="A710" s="70"/>
      <c r="B710" s="27" t="s">
        <v>3</v>
      </c>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row>
    <row r="711" spans="1:29" ht="18.75" customHeight="1" x14ac:dyDescent="0.2">
      <c r="A711" s="70" t="s">
        <v>114</v>
      </c>
      <c r="B711" s="27" t="s">
        <v>5</v>
      </c>
      <c r="C711" s="29"/>
      <c r="D711" s="28"/>
      <c r="E711" s="28"/>
      <c r="F711" s="35"/>
      <c r="G711" s="28"/>
      <c r="H711" s="28"/>
      <c r="I711" s="28"/>
      <c r="J711" s="28"/>
      <c r="K711" s="28"/>
      <c r="L711" s="28"/>
      <c r="M711" s="28"/>
      <c r="N711" s="28"/>
      <c r="O711" s="28"/>
      <c r="P711" s="28"/>
      <c r="Q711" s="28"/>
      <c r="R711" s="28"/>
      <c r="S711" s="28"/>
      <c r="T711" s="28"/>
      <c r="U711" s="28"/>
      <c r="V711" s="28"/>
      <c r="W711" s="28"/>
      <c r="X711" s="28"/>
      <c r="Y711" s="28"/>
      <c r="Z711" s="28"/>
      <c r="AA711" s="28"/>
      <c r="AB711" s="22"/>
      <c r="AC711" s="28"/>
    </row>
    <row r="712" spans="1:29" ht="18" x14ac:dyDescent="0.2">
      <c r="A712" s="70"/>
      <c r="B712" s="27" t="s">
        <v>6</v>
      </c>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row>
    <row r="713" spans="1:29" ht="18" x14ac:dyDescent="0.2">
      <c r="A713" s="70"/>
      <c r="B713" s="27" t="s">
        <v>3</v>
      </c>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row>
    <row r="714" spans="1:29" ht="18.75" customHeight="1" x14ac:dyDescent="0.2">
      <c r="A714" s="70" t="s">
        <v>236</v>
      </c>
      <c r="B714" s="27" t="s">
        <v>5</v>
      </c>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2"/>
      <c r="AC714" s="28"/>
    </row>
    <row r="715" spans="1:29" ht="18" x14ac:dyDescent="0.2">
      <c r="A715" s="70"/>
      <c r="B715" s="27" t="s">
        <v>6</v>
      </c>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row>
    <row r="716" spans="1:29" ht="18" x14ac:dyDescent="0.2">
      <c r="A716" s="70"/>
      <c r="B716" s="27" t="s">
        <v>3</v>
      </c>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row>
    <row r="717" spans="1:29" ht="18" x14ac:dyDescent="0.4">
      <c r="A717" s="4" t="s">
        <v>219</v>
      </c>
      <c r="B717" s="4"/>
      <c r="C717" s="4"/>
      <c r="D717" s="4"/>
      <c r="E717" s="4"/>
      <c r="F717" s="4"/>
      <c r="G717" s="4"/>
      <c r="H717" s="4"/>
      <c r="I717" s="4"/>
      <c r="J717" s="4"/>
      <c r="K717" s="4"/>
      <c r="L717" s="4"/>
      <c r="M717" s="4"/>
      <c r="N717" s="4"/>
      <c r="O717" s="4"/>
      <c r="P717" s="4"/>
      <c r="Q717" s="4"/>
      <c r="R717" s="4"/>
      <c r="S717" s="4"/>
      <c r="T717" s="4"/>
      <c r="U717" s="4"/>
      <c r="V717" s="4"/>
      <c r="W717" s="71" t="s">
        <v>173</v>
      </c>
      <c r="X717" s="71"/>
      <c r="Y717" s="71"/>
      <c r="Z717" s="71"/>
      <c r="AA717" s="71"/>
      <c r="AB717" s="71"/>
      <c r="AC717" s="71"/>
    </row>
    <row r="718" spans="1:29" ht="18" x14ac:dyDescent="0.4">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spans="1:29" ht="18" x14ac:dyDescent="0.4">
      <c r="A719" s="9"/>
      <c r="B719" s="9"/>
      <c r="C719" s="9"/>
      <c r="D719" s="9"/>
      <c r="E719" s="9"/>
      <c r="F719" s="9"/>
      <c r="G719" s="9"/>
      <c r="H719" s="9"/>
      <c r="I719" s="9"/>
      <c r="J719" s="9"/>
      <c r="K719" s="9"/>
      <c r="L719" s="9"/>
      <c r="M719" s="9"/>
      <c r="N719" s="9"/>
      <c r="O719" s="9"/>
      <c r="P719" s="72" t="s">
        <v>28</v>
      </c>
      <c r="Q719" s="72"/>
      <c r="R719" s="73" t="str">
        <f>R689</f>
        <v>พีรวัส</v>
      </c>
      <c r="S719" s="73"/>
      <c r="T719" s="73"/>
      <c r="U719" s="72" t="s">
        <v>30</v>
      </c>
      <c r="V719" s="72"/>
      <c r="W719" s="73" t="str">
        <f>W689</f>
        <v>วรพงศ์</v>
      </c>
      <c r="X719" s="73"/>
      <c r="Y719" s="73"/>
      <c r="Z719" s="8" t="s">
        <v>29</v>
      </c>
      <c r="AA719" s="74">
        <f>AA689</f>
        <v>46021</v>
      </c>
      <c r="AB719" s="74"/>
      <c r="AC719" s="74"/>
    </row>
    <row r="720" spans="1:29" ht="18" customHeight="1" x14ac:dyDescent="0.2"/>
    <row r="721" spans="1:29" ht="23.25" x14ac:dyDescent="0.5">
      <c r="A721" s="80" t="s">
        <v>26</v>
      </c>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c r="AA721" s="80"/>
      <c r="AB721" s="80"/>
      <c r="AC721" s="80"/>
    </row>
    <row r="722" spans="1:29" ht="21" x14ac:dyDescent="0.45">
      <c r="A722" s="6" t="s">
        <v>22</v>
      </c>
      <c r="B722" s="81" t="s">
        <v>117</v>
      </c>
      <c r="C722" s="81"/>
      <c r="D722" s="81"/>
      <c r="E722" s="81"/>
      <c r="F722" s="81"/>
      <c r="G722" s="81"/>
      <c r="H722" s="6" t="s">
        <v>24</v>
      </c>
      <c r="I722" s="84" t="s">
        <v>118</v>
      </c>
      <c r="J722" s="84"/>
      <c r="K722" s="84"/>
      <c r="L722" s="84"/>
      <c r="M722" s="83" t="s">
        <v>25</v>
      </c>
      <c r="N722" s="83"/>
      <c r="O722" s="81" t="s">
        <v>56</v>
      </c>
      <c r="P722" s="81"/>
      <c r="Q722" s="81"/>
      <c r="R722" s="81"/>
      <c r="S722" s="81"/>
      <c r="T722" s="6" t="s">
        <v>20</v>
      </c>
      <c r="U722" s="81">
        <f>$U$2</f>
        <v>2569</v>
      </c>
      <c r="V722" s="81"/>
      <c r="W722" s="83" t="s">
        <v>35</v>
      </c>
      <c r="X722" s="83"/>
      <c r="Y722" s="83"/>
      <c r="Z722" s="4" t="s">
        <v>284</v>
      </c>
      <c r="AA722" s="1"/>
      <c r="AB722" s="1"/>
      <c r="AC722" s="1"/>
    </row>
    <row r="723" spans="1:29" ht="18" x14ac:dyDescent="0.2">
      <c r="A723" s="20" t="s">
        <v>0</v>
      </c>
      <c r="B723" s="21" t="s">
        <v>2</v>
      </c>
      <c r="C723" s="75" t="s">
        <v>32</v>
      </c>
      <c r="D723" s="75"/>
      <c r="E723" s="75"/>
      <c r="F723" s="75"/>
      <c r="G723" s="75"/>
      <c r="H723" s="75" t="s">
        <v>7</v>
      </c>
      <c r="I723" s="75"/>
      <c r="J723" s="75"/>
      <c r="K723" s="75"/>
      <c r="L723" s="77" t="s">
        <v>8</v>
      </c>
      <c r="M723" s="78"/>
      <c r="N723" s="78"/>
      <c r="O723" s="79"/>
      <c r="P723" s="77" t="s">
        <v>9</v>
      </c>
      <c r="Q723" s="78"/>
      <c r="R723" s="78"/>
      <c r="S723" s="78"/>
      <c r="T723" s="79"/>
      <c r="U723" s="75" t="s">
        <v>10</v>
      </c>
      <c r="V723" s="75"/>
      <c r="W723" s="75"/>
      <c r="X723" s="75"/>
      <c r="Y723" s="75"/>
      <c r="Z723" s="75" t="s">
        <v>11</v>
      </c>
      <c r="AA723" s="75"/>
      <c r="AB723" s="75"/>
      <c r="AC723" s="75"/>
    </row>
    <row r="724" spans="1:29" ht="18" x14ac:dyDescent="0.2">
      <c r="A724" s="23" t="s">
        <v>1</v>
      </c>
      <c r="B724" s="24" t="s">
        <v>3</v>
      </c>
      <c r="C724" s="28" t="str">
        <f>C664</f>
        <v>1-5</v>
      </c>
      <c r="D724" s="28" t="str">
        <f t="shared" ref="D724:AC724" si="46">D664</f>
        <v>6-12</v>
      </c>
      <c r="E724" s="28" t="str">
        <f t="shared" si="46"/>
        <v>13-19</v>
      </c>
      <c r="F724" s="28" t="str">
        <f t="shared" si="46"/>
        <v>20-26</v>
      </c>
      <c r="G724" s="28" t="str">
        <f t="shared" si="46"/>
        <v>27-31</v>
      </c>
      <c r="H724" s="28" t="str">
        <f t="shared" si="46"/>
        <v>1-9</v>
      </c>
      <c r="I724" s="28" t="str">
        <f t="shared" si="46"/>
        <v>10-16</v>
      </c>
      <c r="J724" s="28" t="str">
        <f t="shared" si="46"/>
        <v>17-23</v>
      </c>
      <c r="K724" s="28" t="str">
        <f t="shared" si="46"/>
        <v>24-28</v>
      </c>
      <c r="L724" s="28" t="str">
        <f t="shared" si="46"/>
        <v>1-9</v>
      </c>
      <c r="M724" s="28" t="str">
        <f t="shared" si="46"/>
        <v>10-16</v>
      </c>
      <c r="N724" s="28" t="str">
        <f t="shared" si="46"/>
        <v>17-23</v>
      </c>
      <c r="O724" s="28" t="str">
        <f t="shared" si="46"/>
        <v>24-31</v>
      </c>
      <c r="P724" s="28" t="str">
        <f t="shared" si="46"/>
        <v>1-6</v>
      </c>
      <c r="Q724" s="28" t="str">
        <f t="shared" si="46"/>
        <v>7-13</v>
      </c>
      <c r="R724" s="28" t="str">
        <f t="shared" si="46"/>
        <v>14-20</v>
      </c>
      <c r="S724" s="28" t="str">
        <f t="shared" si="46"/>
        <v>21-27</v>
      </c>
      <c r="T724" s="28" t="str">
        <f t="shared" si="46"/>
        <v>28-30</v>
      </c>
      <c r="U724" s="28" t="str">
        <f t="shared" si="46"/>
        <v>1-4</v>
      </c>
      <c r="V724" s="28" t="str">
        <f t="shared" si="46"/>
        <v>5-11</v>
      </c>
      <c r="W724" s="28" t="str">
        <f t="shared" si="46"/>
        <v>12-18</v>
      </c>
      <c r="X724" s="28" t="str">
        <f t="shared" si="46"/>
        <v>19-25</v>
      </c>
      <c r="Y724" s="28" t="str">
        <f t="shared" si="46"/>
        <v>26-31</v>
      </c>
      <c r="Z724" s="28" t="str">
        <f t="shared" si="46"/>
        <v>1-8</v>
      </c>
      <c r="AA724" s="28" t="str">
        <f t="shared" si="46"/>
        <v>9-15</v>
      </c>
      <c r="AB724" s="28" t="str">
        <f t="shared" si="46"/>
        <v>16-22</v>
      </c>
      <c r="AC724" s="28" t="str">
        <f t="shared" si="46"/>
        <v>23-30</v>
      </c>
    </row>
    <row r="725" spans="1:29" ht="18" x14ac:dyDescent="0.2">
      <c r="A725" s="25"/>
      <c r="B725" s="26" t="s">
        <v>4</v>
      </c>
      <c r="C725" s="22" t="s">
        <v>12</v>
      </c>
      <c r="D725" s="22" t="s">
        <v>12</v>
      </c>
      <c r="E725" s="22" t="s">
        <v>12</v>
      </c>
      <c r="F725" s="22" t="s">
        <v>12</v>
      </c>
      <c r="G725" s="22" t="s">
        <v>12</v>
      </c>
      <c r="H725" s="22" t="s">
        <v>12</v>
      </c>
      <c r="I725" s="22" t="s">
        <v>12</v>
      </c>
      <c r="J725" s="22" t="s">
        <v>12</v>
      </c>
      <c r="K725" s="22" t="s">
        <v>12</v>
      </c>
      <c r="L725" s="22" t="s">
        <v>12</v>
      </c>
      <c r="M725" s="22" t="s">
        <v>12</v>
      </c>
      <c r="N725" s="22" t="s">
        <v>12</v>
      </c>
      <c r="O725" s="22" t="s">
        <v>12</v>
      </c>
      <c r="P725" s="22" t="s">
        <v>12</v>
      </c>
      <c r="Q725" s="22" t="s">
        <v>12</v>
      </c>
      <c r="R725" s="22" t="s">
        <v>12</v>
      </c>
      <c r="S725" s="22" t="s">
        <v>12</v>
      </c>
      <c r="T725" s="22" t="s">
        <v>12</v>
      </c>
      <c r="U725" s="22" t="s">
        <v>12</v>
      </c>
      <c r="V725" s="22" t="s">
        <v>12</v>
      </c>
      <c r="W725" s="22" t="s">
        <v>12</v>
      </c>
      <c r="X725" s="22" t="s">
        <v>12</v>
      </c>
      <c r="Y725" s="22" t="s">
        <v>12</v>
      </c>
      <c r="Z725" s="22" t="s">
        <v>12</v>
      </c>
      <c r="AA725" s="22" t="s">
        <v>12</v>
      </c>
      <c r="AB725" s="22" t="s">
        <v>12</v>
      </c>
      <c r="AC725" s="22" t="s">
        <v>12</v>
      </c>
    </row>
    <row r="726" spans="1:29" ht="18.75" customHeight="1" x14ac:dyDescent="0.2">
      <c r="A726" s="70" t="s">
        <v>121</v>
      </c>
      <c r="B726" s="27" t="s">
        <v>5</v>
      </c>
      <c r="C726" s="28" t="s">
        <v>60</v>
      </c>
      <c r="D726" s="28" t="s">
        <v>60</v>
      </c>
      <c r="E726" s="28" t="s">
        <v>60</v>
      </c>
      <c r="F726" s="28" t="s">
        <v>60</v>
      </c>
      <c r="G726" s="28" t="s">
        <v>60</v>
      </c>
      <c r="H726" s="28" t="s">
        <v>60</v>
      </c>
      <c r="I726" s="28" t="s">
        <v>60</v>
      </c>
      <c r="J726" s="28" t="s">
        <v>60</v>
      </c>
      <c r="K726" s="28" t="s">
        <v>60</v>
      </c>
      <c r="L726" s="28" t="s">
        <v>60</v>
      </c>
      <c r="M726" s="28" t="s">
        <v>60</v>
      </c>
      <c r="N726" s="28" t="s">
        <v>60</v>
      </c>
      <c r="O726" s="28" t="s">
        <v>60</v>
      </c>
      <c r="P726" s="28" t="s">
        <v>60</v>
      </c>
      <c r="Q726" s="28" t="s">
        <v>60</v>
      </c>
      <c r="R726" s="28" t="s">
        <v>60</v>
      </c>
      <c r="S726" s="28" t="s">
        <v>60</v>
      </c>
      <c r="T726" s="28" t="s">
        <v>60</v>
      </c>
      <c r="U726" s="28" t="s">
        <v>60</v>
      </c>
      <c r="V726" s="28" t="s">
        <v>60</v>
      </c>
      <c r="W726" s="28" t="s">
        <v>60</v>
      </c>
      <c r="X726" s="28" t="s">
        <v>60</v>
      </c>
      <c r="Y726" s="28" t="s">
        <v>60</v>
      </c>
      <c r="Z726" s="28" t="s">
        <v>60</v>
      </c>
      <c r="AA726" s="28" t="s">
        <v>60</v>
      </c>
      <c r="AB726" s="28" t="s">
        <v>60</v>
      </c>
      <c r="AC726" s="28" t="s">
        <v>60</v>
      </c>
    </row>
    <row r="727" spans="1:29" ht="18" x14ac:dyDescent="0.2">
      <c r="A727" s="70"/>
      <c r="B727" s="27" t="s">
        <v>6</v>
      </c>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row>
    <row r="728" spans="1:29" ht="18" x14ac:dyDescent="0.2">
      <c r="A728" s="70"/>
      <c r="B728" s="27" t="s">
        <v>3</v>
      </c>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row>
    <row r="729" spans="1:29" ht="18.75" customHeight="1" x14ac:dyDescent="0.2">
      <c r="A729" s="70" t="s">
        <v>122</v>
      </c>
      <c r="B729" s="27" t="s">
        <v>5</v>
      </c>
      <c r="C729" s="28" t="s">
        <v>60</v>
      </c>
      <c r="D729" s="28" t="s">
        <v>60</v>
      </c>
      <c r="E729" s="28" t="s">
        <v>60</v>
      </c>
      <c r="F729" s="28" t="s">
        <v>60</v>
      </c>
      <c r="G729" s="28" t="s">
        <v>60</v>
      </c>
      <c r="H729" s="28" t="s">
        <v>60</v>
      </c>
      <c r="I729" s="28" t="s">
        <v>60</v>
      </c>
      <c r="J729" s="28" t="s">
        <v>60</v>
      </c>
      <c r="K729" s="28" t="s">
        <v>60</v>
      </c>
      <c r="L729" s="28" t="s">
        <v>60</v>
      </c>
      <c r="M729" s="28" t="s">
        <v>60</v>
      </c>
      <c r="N729" s="28" t="s">
        <v>60</v>
      </c>
      <c r="O729" s="28" t="s">
        <v>60</v>
      </c>
      <c r="P729" s="28" t="s">
        <v>60</v>
      </c>
      <c r="Q729" s="28" t="s">
        <v>60</v>
      </c>
      <c r="R729" s="28" t="s">
        <v>60</v>
      </c>
      <c r="S729" s="28" t="s">
        <v>60</v>
      </c>
      <c r="T729" s="28" t="s">
        <v>60</v>
      </c>
      <c r="U729" s="28" t="s">
        <v>60</v>
      </c>
      <c r="V729" s="28" t="s">
        <v>60</v>
      </c>
      <c r="W729" s="28" t="s">
        <v>60</v>
      </c>
      <c r="X729" s="28" t="s">
        <v>60</v>
      </c>
      <c r="Y729" s="28" t="s">
        <v>60</v>
      </c>
      <c r="Z729" s="28" t="s">
        <v>60</v>
      </c>
      <c r="AA729" s="28" t="s">
        <v>60</v>
      </c>
      <c r="AB729" s="28" t="s">
        <v>60</v>
      </c>
      <c r="AC729" s="28" t="s">
        <v>60</v>
      </c>
    </row>
    <row r="730" spans="1:29" ht="18" x14ac:dyDescent="0.2">
      <c r="A730" s="70"/>
      <c r="B730" s="27" t="s">
        <v>6</v>
      </c>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row>
    <row r="731" spans="1:29" ht="18" x14ac:dyDescent="0.2">
      <c r="A731" s="70"/>
      <c r="B731" s="27" t="s">
        <v>3</v>
      </c>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row>
    <row r="732" spans="1:29" ht="18.75" customHeight="1" x14ac:dyDescent="0.2">
      <c r="A732" s="70" t="s">
        <v>240</v>
      </c>
      <c r="B732" s="27" t="s">
        <v>5</v>
      </c>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2"/>
      <c r="AC732" s="28"/>
    </row>
    <row r="733" spans="1:29" ht="18" x14ac:dyDescent="0.2">
      <c r="A733" s="70"/>
      <c r="B733" s="27" t="s">
        <v>6</v>
      </c>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row>
    <row r="734" spans="1:29" ht="18" x14ac:dyDescent="0.2">
      <c r="A734" s="70"/>
      <c r="B734" s="27" t="s">
        <v>3</v>
      </c>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row>
    <row r="735" spans="1:29" ht="18" x14ac:dyDescent="0.2">
      <c r="A735" s="20" t="s">
        <v>0</v>
      </c>
      <c r="B735" s="21" t="s">
        <v>2</v>
      </c>
      <c r="C735" s="76" t="s">
        <v>13</v>
      </c>
      <c r="D735" s="76"/>
      <c r="E735" s="76"/>
      <c r="F735" s="76"/>
      <c r="G735" s="76"/>
      <c r="H735" s="76" t="s">
        <v>14</v>
      </c>
      <c r="I735" s="76"/>
      <c r="J735" s="76"/>
      <c r="K735" s="76"/>
      <c r="L735" s="76" t="s">
        <v>15</v>
      </c>
      <c r="M735" s="76"/>
      <c r="N735" s="76"/>
      <c r="O735" s="76"/>
      <c r="P735" s="76" t="s">
        <v>16</v>
      </c>
      <c r="Q735" s="76"/>
      <c r="R735" s="76"/>
      <c r="S735" s="76"/>
      <c r="T735" s="76"/>
      <c r="U735" s="76" t="s">
        <v>17</v>
      </c>
      <c r="V735" s="76"/>
      <c r="W735" s="76"/>
      <c r="X735" s="76"/>
      <c r="Y735" s="76" t="s">
        <v>18</v>
      </c>
      <c r="Z735" s="76"/>
      <c r="AA735" s="76"/>
      <c r="AB735" s="76"/>
      <c r="AC735" s="76"/>
    </row>
    <row r="736" spans="1:29" ht="18" x14ac:dyDescent="0.2">
      <c r="A736" s="20" t="s">
        <v>1</v>
      </c>
      <c r="B736" s="24" t="s">
        <v>3</v>
      </c>
      <c r="C736" s="35" t="str">
        <f t="shared" ref="C736:AC736" si="47">C646</f>
        <v>1-6</v>
      </c>
      <c r="D736" s="35" t="str">
        <f t="shared" si="47"/>
        <v>7-13</v>
      </c>
      <c r="E736" s="35" t="str">
        <f t="shared" si="47"/>
        <v>14-20</v>
      </c>
      <c r="F736" s="35" t="str">
        <f t="shared" si="47"/>
        <v>21-27</v>
      </c>
      <c r="G736" s="35" t="str">
        <f t="shared" si="47"/>
        <v>28-31</v>
      </c>
      <c r="H736" s="35" t="str">
        <f t="shared" si="47"/>
        <v>1-10</v>
      </c>
      <c r="I736" s="35" t="str">
        <f t="shared" si="47"/>
        <v>11-17</v>
      </c>
      <c r="J736" s="35" t="str">
        <f t="shared" si="47"/>
        <v>18-24</v>
      </c>
      <c r="K736" s="35" t="str">
        <f t="shared" si="47"/>
        <v>25-31</v>
      </c>
      <c r="L736" s="35" t="str">
        <f t="shared" si="47"/>
        <v>1-7</v>
      </c>
      <c r="M736" s="35" t="str">
        <f t="shared" si="47"/>
        <v>8-14</v>
      </c>
      <c r="N736" s="35" t="str">
        <f t="shared" si="47"/>
        <v>15-21</v>
      </c>
      <c r="O736" s="35" t="str">
        <f t="shared" si="47"/>
        <v>22-30</v>
      </c>
      <c r="P736" s="35" t="str">
        <f t="shared" si="47"/>
        <v>1-5</v>
      </c>
      <c r="Q736" s="35" t="str">
        <f t="shared" si="47"/>
        <v>6-12</v>
      </c>
      <c r="R736" s="35" t="str">
        <f t="shared" si="47"/>
        <v>13-19</v>
      </c>
      <c r="S736" s="35" t="str">
        <f t="shared" si="47"/>
        <v>20-26</v>
      </c>
      <c r="T736" s="35" t="str">
        <f t="shared" si="47"/>
        <v>27-31</v>
      </c>
      <c r="U736" s="35" t="str">
        <f t="shared" si="47"/>
        <v>1-9</v>
      </c>
      <c r="V736" s="35" t="str">
        <f t="shared" si="47"/>
        <v>10-16</v>
      </c>
      <c r="W736" s="35" t="str">
        <f t="shared" si="47"/>
        <v>17-23</v>
      </c>
      <c r="X736" s="35" t="str">
        <f t="shared" si="47"/>
        <v>24-30</v>
      </c>
      <c r="Y736" s="35" t="str">
        <f t="shared" si="47"/>
        <v>1-7</v>
      </c>
      <c r="Z736" s="35" t="str">
        <f t="shared" si="47"/>
        <v>8-14</v>
      </c>
      <c r="AA736" s="35" t="str">
        <f t="shared" si="47"/>
        <v>15-21</v>
      </c>
      <c r="AB736" s="35" t="str">
        <f t="shared" si="47"/>
        <v>22-28</v>
      </c>
      <c r="AC736" s="35" t="str">
        <f t="shared" si="47"/>
        <v>29-31</v>
      </c>
    </row>
    <row r="737" spans="1:29" ht="18" x14ac:dyDescent="0.2">
      <c r="A737" s="34"/>
      <c r="B737" s="26" t="s">
        <v>4</v>
      </c>
      <c r="C737" s="22" t="s">
        <v>12</v>
      </c>
      <c r="D737" s="22" t="s">
        <v>12</v>
      </c>
      <c r="E737" s="22" t="s">
        <v>12</v>
      </c>
      <c r="F737" s="22" t="s">
        <v>12</v>
      </c>
      <c r="G737" s="22" t="s">
        <v>12</v>
      </c>
      <c r="H737" s="22" t="s">
        <v>12</v>
      </c>
      <c r="I737" s="22" t="s">
        <v>12</v>
      </c>
      <c r="J737" s="22" t="s">
        <v>12</v>
      </c>
      <c r="K737" s="22" t="s">
        <v>12</v>
      </c>
      <c r="L737" s="22" t="s">
        <v>12</v>
      </c>
      <c r="M737" s="22" t="s">
        <v>12</v>
      </c>
      <c r="N737" s="22" t="s">
        <v>12</v>
      </c>
      <c r="O737" s="22" t="s">
        <v>12</v>
      </c>
      <c r="P737" s="22" t="s">
        <v>12</v>
      </c>
      <c r="Q737" s="22" t="s">
        <v>12</v>
      </c>
      <c r="R737" s="22" t="s">
        <v>12</v>
      </c>
      <c r="S737" s="22" t="s">
        <v>12</v>
      </c>
      <c r="T737" s="22" t="s">
        <v>12</v>
      </c>
      <c r="U737" s="22" t="s">
        <v>12</v>
      </c>
      <c r="V737" s="22" t="s">
        <v>12</v>
      </c>
      <c r="W737" s="22" t="s">
        <v>12</v>
      </c>
      <c r="X737" s="22" t="s">
        <v>12</v>
      </c>
      <c r="Y737" s="22" t="s">
        <v>12</v>
      </c>
      <c r="Z737" s="22" t="s">
        <v>12</v>
      </c>
      <c r="AA737" s="22" t="s">
        <v>12</v>
      </c>
      <c r="AB737" s="22" t="s">
        <v>12</v>
      </c>
      <c r="AC737" s="22" t="s">
        <v>12</v>
      </c>
    </row>
    <row r="738" spans="1:29" ht="18.75" customHeight="1" x14ac:dyDescent="0.2">
      <c r="A738" s="70" t="s">
        <v>121</v>
      </c>
      <c r="B738" s="27" t="s">
        <v>5</v>
      </c>
      <c r="C738" s="28" t="s">
        <v>60</v>
      </c>
      <c r="D738" s="28" t="s">
        <v>60</v>
      </c>
      <c r="E738" s="28" t="s">
        <v>60</v>
      </c>
      <c r="F738" s="28" t="s">
        <v>60</v>
      </c>
      <c r="G738" s="28" t="s">
        <v>60</v>
      </c>
      <c r="H738" s="28" t="s">
        <v>60</v>
      </c>
      <c r="I738" s="28" t="s">
        <v>60</v>
      </c>
      <c r="J738" s="28" t="s">
        <v>60</v>
      </c>
      <c r="K738" s="28" t="s">
        <v>60</v>
      </c>
      <c r="L738" s="28" t="s">
        <v>60</v>
      </c>
      <c r="M738" s="28" t="s">
        <v>60</v>
      </c>
      <c r="N738" s="28" t="s">
        <v>60</v>
      </c>
      <c r="O738" s="28" t="s">
        <v>60</v>
      </c>
      <c r="P738" s="28" t="s">
        <v>60</v>
      </c>
      <c r="Q738" s="28" t="s">
        <v>60</v>
      </c>
      <c r="R738" s="28" t="s">
        <v>60</v>
      </c>
      <c r="S738" s="28" t="s">
        <v>60</v>
      </c>
      <c r="T738" s="28" t="s">
        <v>60</v>
      </c>
      <c r="U738" s="28" t="s">
        <v>60</v>
      </c>
      <c r="V738" s="28" t="s">
        <v>60</v>
      </c>
      <c r="W738" s="28" t="s">
        <v>60</v>
      </c>
      <c r="X738" s="28" t="s">
        <v>60</v>
      </c>
      <c r="Y738" s="28" t="s">
        <v>60</v>
      </c>
      <c r="Z738" s="28" t="s">
        <v>60</v>
      </c>
      <c r="AA738" s="28" t="s">
        <v>60</v>
      </c>
      <c r="AB738" s="28" t="s">
        <v>60</v>
      </c>
      <c r="AC738" s="28" t="s">
        <v>60</v>
      </c>
    </row>
    <row r="739" spans="1:29" ht="18" x14ac:dyDescent="0.2">
      <c r="A739" s="70"/>
      <c r="B739" s="27" t="s">
        <v>6</v>
      </c>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row>
    <row r="740" spans="1:29" ht="18" x14ac:dyDescent="0.2">
      <c r="A740" s="70"/>
      <c r="B740" s="27" t="s">
        <v>3</v>
      </c>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row>
    <row r="741" spans="1:29" ht="18.75" customHeight="1" x14ac:dyDescent="0.2">
      <c r="A741" s="70" t="s">
        <v>122</v>
      </c>
      <c r="B741" s="27" t="s">
        <v>5</v>
      </c>
      <c r="C741" s="28" t="s">
        <v>60</v>
      </c>
      <c r="D741" s="28" t="s">
        <v>60</v>
      </c>
      <c r="E741" s="28" t="s">
        <v>60</v>
      </c>
      <c r="F741" s="28" t="s">
        <v>60</v>
      </c>
      <c r="G741" s="28" t="s">
        <v>60</v>
      </c>
      <c r="H741" s="28" t="s">
        <v>60</v>
      </c>
      <c r="I741" s="28" t="s">
        <v>60</v>
      </c>
      <c r="J741" s="28" t="s">
        <v>60</v>
      </c>
      <c r="K741" s="28" t="s">
        <v>60</v>
      </c>
      <c r="L741" s="28" t="s">
        <v>60</v>
      </c>
      <c r="M741" s="28" t="s">
        <v>60</v>
      </c>
      <c r="N741" s="28" t="s">
        <v>60</v>
      </c>
      <c r="O741" s="28" t="s">
        <v>60</v>
      </c>
      <c r="P741" s="28" t="s">
        <v>60</v>
      </c>
      <c r="Q741" s="28" t="s">
        <v>60</v>
      </c>
      <c r="R741" s="28" t="s">
        <v>60</v>
      </c>
      <c r="S741" s="28" t="s">
        <v>60</v>
      </c>
      <c r="T741" s="28" t="s">
        <v>60</v>
      </c>
      <c r="U741" s="28" t="s">
        <v>60</v>
      </c>
      <c r="V741" s="28" t="s">
        <v>60</v>
      </c>
      <c r="W741" s="28" t="s">
        <v>60</v>
      </c>
      <c r="X741" s="28" t="s">
        <v>60</v>
      </c>
      <c r="Y741" s="28" t="s">
        <v>60</v>
      </c>
      <c r="Z741" s="28" t="s">
        <v>60</v>
      </c>
      <c r="AA741" s="28" t="s">
        <v>60</v>
      </c>
      <c r="AB741" s="28" t="s">
        <v>60</v>
      </c>
      <c r="AC741" s="28" t="s">
        <v>60</v>
      </c>
    </row>
    <row r="742" spans="1:29" ht="18" x14ac:dyDescent="0.2">
      <c r="A742" s="70"/>
      <c r="B742" s="27" t="s">
        <v>6</v>
      </c>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row>
    <row r="743" spans="1:29" ht="18" x14ac:dyDescent="0.2">
      <c r="A743" s="70"/>
      <c r="B743" s="27" t="s">
        <v>3</v>
      </c>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row>
    <row r="744" spans="1:29" ht="18.75" customHeight="1" x14ac:dyDescent="0.2">
      <c r="A744" s="70" t="s">
        <v>240</v>
      </c>
      <c r="B744" s="27" t="s">
        <v>5</v>
      </c>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2"/>
      <c r="AC744" s="28"/>
    </row>
    <row r="745" spans="1:29" ht="18" x14ac:dyDescent="0.2">
      <c r="A745" s="70"/>
      <c r="B745" s="27" t="s">
        <v>6</v>
      </c>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row>
    <row r="746" spans="1:29" ht="18" x14ac:dyDescent="0.2">
      <c r="A746" s="70"/>
      <c r="B746" s="27" t="s">
        <v>3</v>
      </c>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row>
    <row r="747" spans="1:29" ht="18" x14ac:dyDescent="0.4">
      <c r="A747" s="4" t="s">
        <v>219</v>
      </c>
      <c r="B747" s="4"/>
      <c r="C747" s="4"/>
      <c r="D747" s="4"/>
      <c r="E747" s="4"/>
      <c r="F747" s="4"/>
      <c r="G747" s="4"/>
      <c r="H747" s="4"/>
      <c r="I747" s="4"/>
      <c r="J747" s="4"/>
      <c r="K747" s="4"/>
      <c r="L747" s="4"/>
      <c r="M747" s="4"/>
      <c r="N747" s="4"/>
      <c r="O747" s="4"/>
      <c r="P747" s="4"/>
      <c r="Q747" s="4"/>
      <c r="R747" s="4"/>
      <c r="S747" s="4"/>
      <c r="T747" s="4"/>
      <c r="U747" s="4"/>
      <c r="V747" s="4"/>
      <c r="W747" s="71" t="s">
        <v>173</v>
      </c>
      <c r="X747" s="71"/>
      <c r="Y747" s="71"/>
      <c r="Z747" s="71"/>
      <c r="AA747" s="71"/>
      <c r="AB747" s="71"/>
      <c r="AC747" s="71"/>
    </row>
    <row r="748" spans="1:29" ht="18" x14ac:dyDescent="0.4">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spans="1:29" ht="18" x14ac:dyDescent="0.4">
      <c r="A749" s="9"/>
      <c r="B749" s="9"/>
      <c r="C749" s="9"/>
      <c r="D749" s="9"/>
      <c r="E749" s="9"/>
      <c r="F749" s="9"/>
      <c r="G749" s="9"/>
      <c r="H749" s="9"/>
      <c r="I749" s="9"/>
      <c r="J749" s="9"/>
      <c r="K749" s="9"/>
      <c r="L749" s="9"/>
      <c r="M749" s="9"/>
      <c r="N749" s="9"/>
      <c r="O749" s="9"/>
      <c r="P749" s="72" t="s">
        <v>28</v>
      </c>
      <c r="Q749" s="72"/>
      <c r="R749" s="73" t="str">
        <f>R659</f>
        <v>พีรวัส</v>
      </c>
      <c r="S749" s="73"/>
      <c r="T749" s="73"/>
      <c r="U749" s="72" t="s">
        <v>30</v>
      </c>
      <c r="V749" s="72"/>
      <c r="W749" s="73" t="str">
        <f>W659</f>
        <v>วรพงศ์</v>
      </c>
      <c r="X749" s="73"/>
      <c r="Y749" s="73"/>
      <c r="Z749" s="8" t="s">
        <v>29</v>
      </c>
      <c r="AA749" s="74">
        <f>AA659</f>
        <v>46021</v>
      </c>
      <c r="AB749" s="74"/>
      <c r="AC749" s="74"/>
    </row>
    <row r="750" spans="1:29" ht="18" customHeight="1" x14ac:dyDescent="0.2"/>
    <row r="751" spans="1:29" ht="23.25" x14ac:dyDescent="0.5">
      <c r="A751" s="80" t="s">
        <v>26</v>
      </c>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c r="AA751" s="80"/>
      <c r="AB751" s="80"/>
      <c r="AC751" s="80"/>
    </row>
    <row r="752" spans="1:29" ht="21" x14ac:dyDescent="0.45">
      <c r="A752" s="6" t="s">
        <v>22</v>
      </c>
      <c r="B752" s="81" t="s">
        <v>218</v>
      </c>
      <c r="C752" s="81"/>
      <c r="D752" s="81"/>
      <c r="E752" s="81"/>
      <c r="F752" s="81"/>
      <c r="G752" s="81"/>
      <c r="H752" s="6" t="s">
        <v>24</v>
      </c>
      <c r="I752" s="84" t="s">
        <v>136</v>
      </c>
      <c r="J752" s="84"/>
      <c r="K752" s="84"/>
      <c r="L752" s="84"/>
      <c r="M752" s="83" t="s">
        <v>25</v>
      </c>
      <c r="N752" s="83"/>
      <c r="O752" s="81" t="s">
        <v>41</v>
      </c>
      <c r="P752" s="81"/>
      <c r="Q752" s="81"/>
      <c r="R752" s="81"/>
      <c r="S752" s="81"/>
      <c r="T752" s="6" t="s">
        <v>20</v>
      </c>
      <c r="U752" s="81">
        <f>$U$2</f>
        <v>2569</v>
      </c>
      <c r="V752" s="81"/>
      <c r="W752" s="83" t="s">
        <v>35</v>
      </c>
      <c r="X752" s="83"/>
      <c r="Y752" s="83"/>
      <c r="Z752" s="4" t="s">
        <v>21</v>
      </c>
      <c r="AA752" s="1"/>
      <c r="AB752" s="1"/>
      <c r="AC752" s="1"/>
    </row>
    <row r="753" spans="1:29" ht="18" x14ac:dyDescent="0.2">
      <c r="A753" s="20" t="s">
        <v>0</v>
      </c>
      <c r="B753" s="21" t="s">
        <v>2</v>
      </c>
      <c r="C753" s="75" t="s">
        <v>32</v>
      </c>
      <c r="D753" s="75"/>
      <c r="E753" s="75"/>
      <c r="F753" s="75"/>
      <c r="G753" s="75"/>
      <c r="H753" s="75" t="s">
        <v>7</v>
      </c>
      <c r="I753" s="75"/>
      <c r="J753" s="75"/>
      <c r="K753" s="75"/>
      <c r="L753" s="77" t="s">
        <v>8</v>
      </c>
      <c r="M753" s="78"/>
      <c r="N753" s="78"/>
      <c r="O753" s="79"/>
      <c r="P753" s="77" t="s">
        <v>9</v>
      </c>
      <c r="Q753" s="78"/>
      <c r="R753" s="78"/>
      <c r="S753" s="78"/>
      <c r="T753" s="79"/>
      <c r="U753" s="75" t="s">
        <v>10</v>
      </c>
      <c r="V753" s="75"/>
      <c r="W753" s="75"/>
      <c r="X753" s="75"/>
      <c r="Y753" s="75"/>
      <c r="Z753" s="75" t="s">
        <v>11</v>
      </c>
      <c r="AA753" s="75"/>
      <c r="AB753" s="75"/>
      <c r="AC753" s="75"/>
    </row>
    <row r="754" spans="1:29" ht="18" x14ac:dyDescent="0.2">
      <c r="A754" s="23" t="s">
        <v>1</v>
      </c>
      <c r="B754" s="24" t="s">
        <v>3</v>
      </c>
      <c r="C754" s="28" t="str">
        <f>C724</f>
        <v>1-5</v>
      </c>
      <c r="D754" s="28" t="str">
        <f t="shared" ref="D754:AC754" si="48">D724</f>
        <v>6-12</v>
      </c>
      <c r="E754" s="28" t="str">
        <f t="shared" si="48"/>
        <v>13-19</v>
      </c>
      <c r="F754" s="28" t="str">
        <f t="shared" si="48"/>
        <v>20-26</v>
      </c>
      <c r="G754" s="28" t="str">
        <f t="shared" si="48"/>
        <v>27-31</v>
      </c>
      <c r="H754" s="28" t="str">
        <f t="shared" si="48"/>
        <v>1-9</v>
      </c>
      <c r="I754" s="28" t="str">
        <f t="shared" si="48"/>
        <v>10-16</v>
      </c>
      <c r="J754" s="28" t="str">
        <f t="shared" si="48"/>
        <v>17-23</v>
      </c>
      <c r="K754" s="28" t="str">
        <f t="shared" si="48"/>
        <v>24-28</v>
      </c>
      <c r="L754" s="28" t="str">
        <f t="shared" si="48"/>
        <v>1-9</v>
      </c>
      <c r="M754" s="28" t="str">
        <f t="shared" si="48"/>
        <v>10-16</v>
      </c>
      <c r="N754" s="28" t="str">
        <f t="shared" si="48"/>
        <v>17-23</v>
      </c>
      <c r="O754" s="28" t="str">
        <f t="shared" si="48"/>
        <v>24-31</v>
      </c>
      <c r="P754" s="28" t="str">
        <f t="shared" si="48"/>
        <v>1-6</v>
      </c>
      <c r="Q754" s="28" t="str">
        <f t="shared" si="48"/>
        <v>7-13</v>
      </c>
      <c r="R754" s="28" t="str">
        <f t="shared" si="48"/>
        <v>14-20</v>
      </c>
      <c r="S754" s="28" t="str">
        <f t="shared" si="48"/>
        <v>21-27</v>
      </c>
      <c r="T754" s="28" t="str">
        <f t="shared" si="48"/>
        <v>28-30</v>
      </c>
      <c r="U754" s="28" t="str">
        <f t="shared" si="48"/>
        <v>1-4</v>
      </c>
      <c r="V754" s="28" t="str">
        <f t="shared" si="48"/>
        <v>5-11</v>
      </c>
      <c r="W754" s="28" t="str">
        <f t="shared" si="48"/>
        <v>12-18</v>
      </c>
      <c r="X754" s="28" t="str">
        <f t="shared" si="48"/>
        <v>19-25</v>
      </c>
      <c r="Y754" s="28" t="str">
        <f t="shared" si="48"/>
        <v>26-31</v>
      </c>
      <c r="Z754" s="28" t="str">
        <f t="shared" si="48"/>
        <v>1-8</v>
      </c>
      <c r="AA754" s="28" t="str">
        <f t="shared" si="48"/>
        <v>9-15</v>
      </c>
      <c r="AB754" s="28" t="str">
        <f t="shared" si="48"/>
        <v>16-22</v>
      </c>
      <c r="AC754" s="28" t="str">
        <f t="shared" si="48"/>
        <v>23-30</v>
      </c>
    </row>
    <row r="755" spans="1:29" ht="18" x14ac:dyDescent="0.2">
      <c r="A755" s="25"/>
      <c r="B755" s="26" t="s">
        <v>4</v>
      </c>
      <c r="C755" s="22" t="s">
        <v>12</v>
      </c>
      <c r="D755" s="22" t="s">
        <v>12</v>
      </c>
      <c r="E755" s="22" t="s">
        <v>12</v>
      </c>
      <c r="F755" s="22" t="s">
        <v>12</v>
      </c>
      <c r="G755" s="22" t="s">
        <v>12</v>
      </c>
      <c r="H755" s="22" t="s">
        <v>12</v>
      </c>
      <c r="I755" s="22" t="s">
        <v>12</v>
      </c>
      <c r="J755" s="22" t="s">
        <v>12</v>
      </c>
      <c r="K755" s="22" t="s">
        <v>12</v>
      </c>
      <c r="L755" s="22" t="s">
        <v>12</v>
      </c>
      <c r="M755" s="22" t="s">
        <v>12</v>
      </c>
      <c r="N755" s="22" t="s">
        <v>12</v>
      </c>
      <c r="O755" s="22" t="s">
        <v>12</v>
      </c>
      <c r="P755" s="22" t="s">
        <v>12</v>
      </c>
      <c r="Q755" s="22" t="s">
        <v>12</v>
      </c>
      <c r="R755" s="22" t="s">
        <v>12</v>
      </c>
      <c r="S755" s="22" t="s">
        <v>12</v>
      </c>
      <c r="T755" s="22" t="s">
        <v>12</v>
      </c>
      <c r="U755" s="22" t="s">
        <v>12</v>
      </c>
      <c r="V755" s="22" t="s">
        <v>12</v>
      </c>
      <c r="W755" s="22" t="s">
        <v>12</v>
      </c>
      <c r="X755" s="22" t="s">
        <v>12</v>
      </c>
      <c r="Y755" s="22" t="s">
        <v>12</v>
      </c>
      <c r="Z755" s="22" t="s">
        <v>12</v>
      </c>
      <c r="AA755" s="22" t="s">
        <v>12</v>
      </c>
      <c r="AB755" s="22" t="s">
        <v>12</v>
      </c>
      <c r="AC755" s="22" t="s">
        <v>12</v>
      </c>
    </row>
    <row r="756" spans="1:29" ht="18.75" customHeight="1" x14ac:dyDescent="0.2">
      <c r="A756" s="70" t="s">
        <v>265</v>
      </c>
      <c r="B756" s="27" t="s">
        <v>5</v>
      </c>
      <c r="C756" s="28"/>
      <c r="D756" s="28"/>
      <c r="E756" s="28"/>
      <c r="F756" s="28"/>
      <c r="G756" s="29"/>
      <c r="H756" s="28"/>
      <c r="I756" s="28"/>
      <c r="J756" s="28"/>
      <c r="K756" s="29"/>
      <c r="L756" s="28"/>
      <c r="M756" s="28"/>
      <c r="N756" s="28"/>
      <c r="O756" s="28"/>
      <c r="P756" s="29"/>
      <c r="Q756" s="28"/>
      <c r="R756" s="28"/>
      <c r="S756" s="28"/>
      <c r="T756" s="29"/>
      <c r="U756" s="28"/>
      <c r="V756" s="28"/>
      <c r="W756" s="28"/>
      <c r="X756" s="28"/>
      <c r="Y756" s="29"/>
      <c r="Z756" s="28"/>
      <c r="AA756" s="28"/>
      <c r="AB756" s="28"/>
      <c r="AC756" s="29"/>
    </row>
    <row r="757" spans="1:29" ht="18" x14ac:dyDescent="0.2">
      <c r="A757" s="70"/>
      <c r="B757" s="27" t="s">
        <v>6</v>
      </c>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row>
    <row r="758" spans="1:29" ht="18" x14ac:dyDescent="0.2">
      <c r="A758" s="70"/>
      <c r="B758" s="27" t="s">
        <v>3</v>
      </c>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row>
    <row r="759" spans="1:29" ht="18.75" customHeight="1" x14ac:dyDescent="0.2">
      <c r="A759" s="70"/>
      <c r="B759" s="27" t="s">
        <v>5</v>
      </c>
      <c r="C759" s="35"/>
      <c r="D759" s="28"/>
      <c r="E759" s="35"/>
      <c r="F759" s="35"/>
      <c r="G759" s="29"/>
      <c r="H759" s="28"/>
      <c r="I759" s="28"/>
      <c r="J759" s="28"/>
      <c r="K759" s="29"/>
      <c r="L759" s="28"/>
      <c r="M759" s="28"/>
      <c r="N759" s="28"/>
      <c r="O759" s="28"/>
      <c r="P759" s="29"/>
      <c r="Q759" s="28"/>
      <c r="R759" s="28"/>
      <c r="S759" s="28"/>
      <c r="T759" s="29"/>
      <c r="U759" s="28"/>
      <c r="V759" s="28"/>
      <c r="W759" s="28"/>
      <c r="X759" s="28"/>
      <c r="Y759" s="29"/>
      <c r="Z759" s="28"/>
      <c r="AA759" s="28"/>
      <c r="AB759" s="22"/>
      <c r="AC759" s="29"/>
    </row>
    <row r="760" spans="1:29" ht="18" x14ac:dyDescent="0.2">
      <c r="A760" s="70"/>
      <c r="B760" s="27" t="s">
        <v>6</v>
      </c>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row>
    <row r="761" spans="1:29" ht="18" x14ac:dyDescent="0.2">
      <c r="A761" s="70"/>
      <c r="B761" s="27" t="s">
        <v>3</v>
      </c>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row>
    <row r="762" spans="1:29" ht="18.75" customHeight="1" x14ac:dyDescent="0.2">
      <c r="A762" s="70"/>
      <c r="B762" s="27" t="s">
        <v>5</v>
      </c>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2"/>
      <c r="AC762" s="28"/>
    </row>
    <row r="763" spans="1:29" ht="18" x14ac:dyDescent="0.2">
      <c r="A763" s="70"/>
      <c r="B763" s="27" t="s">
        <v>6</v>
      </c>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row>
    <row r="764" spans="1:29" ht="18" x14ac:dyDescent="0.2">
      <c r="A764" s="70"/>
      <c r="B764" s="27" t="s">
        <v>3</v>
      </c>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row>
    <row r="765" spans="1:29" ht="18" x14ac:dyDescent="0.2">
      <c r="A765" s="20" t="s">
        <v>0</v>
      </c>
      <c r="B765" s="21" t="s">
        <v>2</v>
      </c>
      <c r="C765" s="76" t="s">
        <v>13</v>
      </c>
      <c r="D765" s="76"/>
      <c r="E765" s="76"/>
      <c r="F765" s="76"/>
      <c r="G765" s="76"/>
      <c r="H765" s="76" t="s">
        <v>14</v>
      </c>
      <c r="I765" s="76"/>
      <c r="J765" s="76"/>
      <c r="K765" s="76"/>
      <c r="L765" s="76" t="s">
        <v>15</v>
      </c>
      <c r="M765" s="76"/>
      <c r="N765" s="76"/>
      <c r="O765" s="76"/>
      <c r="P765" s="76" t="s">
        <v>16</v>
      </c>
      <c r="Q765" s="76"/>
      <c r="R765" s="76"/>
      <c r="S765" s="76"/>
      <c r="T765" s="76"/>
      <c r="U765" s="76" t="s">
        <v>17</v>
      </c>
      <c r="V765" s="76"/>
      <c r="W765" s="76"/>
      <c r="X765" s="76"/>
      <c r="Y765" s="76" t="s">
        <v>18</v>
      </c>
      <c r="Z765" s="76"/>
      <c r="AA765" s="76"/>
      <c r="AB765" s="76"/>
      <c r="AC765" s="76"/>
    </row>
    <row r="766" spans="1:29" ht="18" x14ac:dyDescent="0.2">
      <c r="A766" s="20" t="s">
        <v>1</v>
      </c>
      <c r="B766" s="24" t="s">
        <v>3</v>
      </c>
      <c r="C766" s="28" t="str">
        <f>C736</f>
        <v>1-6</v>
      </c>
      <c r="D766" s="28" t="str">
        <f t="shared" ref="D766:AC766" si="49">D736</f>
        <v>7-13</v>
      </c>
      <c r="E766" s="28" t="str">
        <f t="shared" si="49"/>
        <v>14-20</v>
      </c>
      <c r="F766" s="28" t="str">
        <f t="shared" si="49"/>
        <v>21-27</v>
      </c>
      <c r="G766" s="28" t="str">
        <f t="shared" si="49"/>
        <v>28-31</v>
      </c>
      <c r="H766" s="28" t="str">
        <f t="shared" si="49"/>
        <v>1-10</v>
      </c>
      <c r="I766" s="28" t="str">
        <f t="shared" si="49"/>
        <v>11-17</v>
      </c>
      <c r="J766" s="28" t="str">
        <f t="shared" si="49"/>
        <v>18-24</v>
      </c>
      <c r="K766" s="28" t="str">
        <f t="shared" si="49"/>
        <v>25-31</v>
      </c>
      <c r="L766" s="28" t="str">
        <f t="shared" si="49"/>
        <v>1-7</v>
      </c>
      <c r="M766" s="28" t="str">
        <f t="shared" si="49"/>
        <v>8-14</v>
      </c>
      <c r="N766" s="28" t="str">
        <f t="shared" si="49"/>
        <v>15-21</v>
      </c>
      <c r="O766" s="28" t="str">
        <f t="shared" si="49"/>
        <v>22-30</v>
      </c>
      <c r="P766" s="28" t="str">
        <f t="shared" si="49"/>
        <v>1-5</v>
      </c>
      <c r="Q766" s="28" t="str">
        <f t="shared" si="49"/>
        <v>6-12</v>
      </c>
      <c r="R766" s="28" t="str">
        <f t="shared" si="49"/>
        <v>13-19</v>
      </c>
      <c r="S766" s="28" t="str">
        <f t="shared" si="49"/>
        <v>20-26</v>
      </c>
      <c r="T766" s="28" t="str">
        <f t="shared" si="49"/>
        <v>27-31</v>
      </c>
      <c r="U766" s="28" t="str">
        <f t="shared" si="49"/>
        <v>1-9</v>
      </c>
      <c r="V766" s="28" t="str">
        <f t="shared" si="49"/>
        <v>10-16</v>
      </c>
      <c r="W766" s="28" t="str">
        <f t="shared" si="49"/>
        <v>17-23</v>
      </c>
      <c r="X766" s="28" t="str">
        <f t="shared" si="49"/>
        <v>24-30</v>
      </c>
      <c r="Y766" s="28" t="str">
        <f t="shared" si="49"/>
        <v>1-7</v>
      </c>
      <c r="Z766" s="28" t="str">
        <f t="shared" si="49"/>
        <v>8-14</v>
      </c>
      <c r="AA766" s="28" t="str">
        <f t="shared" si="49"/>
        <v>15-21</v>
      </c>
      <c r="AB766" s="28" t="str">
        <f t="shared" si="49"/>
        <v>22-28</v>
      </c>
      <c r="AC766" s="28" t="str">
        <f t="shared" si="49"/>
        <v>29-31</v>
      </c>
    </row>
    <row r="767" spans="1:29" ht="18" x14ac:dyDescent="0.2">
      <c r="A767" s="34"/>
      <c r="B767" s="26" t="s">
        <v>4</v>
      </c>
      <c r="C767" s="22" t="s">
        <v>12</v>
      </c>
      <c r="D767" s="22" t="s">
        <v>12</v>
      </c>
      <c r="E767" s="22" t="s">
        <v>12</v>
      </c>
      <c r="F767" s="22" t="s">
        <v>12</v>
      </c>
      <c r="G767" s="22" t="s">
        <v>12</v>
      </c>
      <c r="H767" s="22" t="s">
        <v>12</v>
      </c>
      <c r="I767" s="22" t="s">
        <v>12</v>
      </c>
      <c r="J767" s="22" t="s">
        <v>12</v>
      </c>
      <c r="K767" s="22" t="s">
        <v>12</v>
      </c>
      <c r="L767" s="22" t="s">
        <v>12</v>
      </c>
      <c r="M767" s="22" t="s">
        <v>12</v>
      </c>
      <c r="N767" s="22" t="s">
        <v>12</v>
      </c>
      <c r="O767" s="22" t="s">
        <v>12</v>
      </c>
      <c r="P767" s="22" t="s">
        <v>12</v>
      </c>
      <c r="Q767" s="22" t="s">
        <v>12</v>
      </c>
      <c r="R767" s="22" t="s">
        <v>12</v>
      </c>
      <c r="S767" s="22" t="s">
        <v>12</v>
      </c>
      <c r="T767" s="22" t="s">
        <v>12</v>
      </c>
      <c r="U767" s="22" t="s">
        <v>12</v>
      </c>
      <c r="V767" s="22" t="s">
        <v>12</v>
      </c>
      <c r="W767" s="22" t="s">
        <v>12</v>
      </c>
      <c r="X767" s="22" t="s">
        <v>12</v>
      </c>
      <c r="Y767" s="22" t="s">
        <v>12</v>
      </c>
      <c r="Z767" s="22" t="s">
        <v>12</v>
      </c>
      <c r="AA767" s="22" t="s">
        <v>12</v>
      </c>
      <c r="AB767" s="22" t="s">
        <v>12</v>
      </c>
      <c r="AC767" s="22" t="s">
        <v>12</v>
      </c>
    </row>
    <row r="768" spans="1:29" ht="18.75" customHeight="1" x14ac:dyDescent="0.2">
      <c r="A768" s="70" t="s">
        <v>265</v>
      </c>
      <c r="B768" s="27" t="s">
        <v>5</v>
      </c>
      <c r="C768" s="28"/>
      <c r="D768" s="28"/>
      <c r="E768" s="28"/>
      <c r="F768" s="28"/>
      <c r="G768" s="29"/>
      <c r="H768" s="28"/>
      <c r="I768" s="28"/>
      <c r="J768" s="28"/>
      <c r="K768" s="29"/>
      <c r="L768" s="28"/>
      <c r="M768" s="28"/>
      <c r="N768" s="28"/>
      <c r="O768" s="29"/>
      <c r="P768" s="28"/>
      <c r="Q768" s="28"/>
      <c r="R768" s="28"/>
      <c r="S768" s="29"/>
      <c r="T768" s="29"/>
      <c r="U768" s="28"/>
      <c r="V768" s="28"/>
      <c r="W768" s="28"/>
      <c r="X768" s="29"/>
      <c r="Y768" s="28"/>
      <c r="Z768" s="28"/>
      <c r="AA768" s="28"/>
      <c r="AB768" s="22"/>
      <c r="AC768" s="29"/>
    </row>
    <row r="769" spans="1:29" ht="18" x14ac:dyDescent="0.2">
      <c r="A769" s="70"/>
      <c r="B769" s="27" t="s">
        <v>6</v>
      </c>
      <c r="C769" s="22"/>
      <c r="D769" s="22"/>
      <c r="E769" s="28"/>
      <c r="F769" s="22"/>
      <c r="G769" s="22"/>
      <c r="H769" s="22"/>
      <c r="I769" s="22"/>
      <c r="J769" s="28"/>
      <c r="K769" s="22"/>
      <c r="L769" s="22"/>
      <c r="M769" s="22"/>
      <c r="N769" s="28"/>
      <c r="O769" s="22"/>
      <c r="P769" s="22"/>
      <c r="Q769" s="22"/>
      <c r="R769" s="22"/>
      <c r="S769" s="28"/>
      <c r="T769" s="22"/>
      <c r="U769" s="22"/>
      <c r="V769" s="22"/>
      <c r="W769" s="28"/>
      <c r="X769" s="22"/>
      <c r="Y769" s="22"/>
      <c r="Z769" s="22"/>
      <c r="AA769" s="28"/>
      <c r="AB769" s="22"/>
      <c r="AC769" s="22"/>
    </row>
    <row r="770" spans="1:29" ht="18" x14ac:dyDescent="0.2">
      <c r="A770" s="70"/>
      <c r="B770" s="27" t="s">
        <v>3</v>
      </c>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row>
    <row r="771" spans="1:29" ht="18.75" customHeight="1" x14ac:dyDescent="0.2">
      <c r="A771" s="70"/>
      <c r="B771" s="27" t="s">
        <v>5</v>
      </c>
      <c r="C771" s="29"/>
      <c r="D771" s="28"/>
      <c r="E771" s="28"/>
      <c r="F771" s="35"/>
      <c r="G771" s="28"/>
      <c r="H771" s="28"/>
      <c r="I771" s="28"/>
      <c r="J771" s="28"/>
      <c r="K771" s="28"/>
      <c r="L771" s="28"/>
      <c r="M771" s="28"/>
      <c r="N771" s="28"/>
      <c r="O771" s="28"/>
      <c r="P771" s="28"/>
      <c r="Q771" s="28"/>
      <c r="R771" s="28"/>
      <c r="S771" s="28"/>
      <c r="T771" s="28"/>
      <c r="U771" s="28"/>
      <c r="V771" s="28"/>
      <c r="W771" s="28"/>
      <c r="X771" s="28"/>
      <c r="Y771" s="28"/>
      <c r="Z771" s="28"/>
      <c r="AA771" s="28"/>
      <c r="AB771" s="22"/>
      <c r="AC771" s="28"/>
    </row>
    <row r="772" spans="1:29" ht="18" x14ac:dyDescent="0.2">
      <c r="A772" s="70"/>
      <c r="B772" s="27" t="s">
        <v>6</v>
      </c>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row>
    <row r="773" spans="1:29" ht="18" x14ac:dyDescent="0.2">
      <c r="A773" s="70"/>
      <c r="B773" s="27" t="s">
        <v>3</v>
      </c>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row>
    <row r="774" spans="1:29" ht="18.75" customHeight="1" x14ac:dyDescent="0.2">
      <c r="A774" s="70"/>
      <c r="B774" s="27" t="s">
        <v>5</v>
      </c>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2"/>
      <c r="AC774" s="28"/>
    </row>
    <row r="775" spans="1:29" ht="18" x14ac:dyDescent="0.2">
      <c r="A775" s="70"/>
      <c r="B775" s="27" t="s">
        <v>6</v>
      </c>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row>
    <row r="776" spans="1:29" ht="18" x14ac:dyDescent="0.2">
      <c r="A776" s="70"/>
      <c r="B776" s="27" t="s">
        <v>3</v>
      </c>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row>
    <row r="777" spans="1:29" ht="18" x14ac:dyDescent="0.4">
      <c r="A777" s="4" t="s">
        <v>219</v>
      </c>
      <c r="B777" s="4"/>
      <c r="C777" s="4"/>
      <c r="D777" s="4"/>
      <c r="E777" s="4"/>
      <c r="F777" s="4"/>
      <c r="G777" s="4"/>
      <c r="H777" s="4"/>
      <c r="I777" s="4"/>
      <c r="J777" s="4"/>
      <c r="K777" s="4"/>
      <c r="L777" s="4"/>
      <c r="M777" s="4"/>
      <c r="N777" s="4"/>
      <c r="O777" s="4"/>
      <c r="P777" s="4"/>
      <c r="Q777" s="4"/>
      <c r="R777" s="4"/>
      <c r="S777" s="4"/>
      <c r="T777" s="4"/>
      <c r="U777" s="4"/>
      <c r="V777" s="4"/>
      <c r="W777" s="71" t="s">
        <v>173</v>
      </c>
      <c r="X777" s="71"/>
      <c r="Y777" s="71"/>
      <c r="Z777" s="71"/>
      <c r="AA777" s="71"/>
      <c r="AB777" s="71"/>
      <c r="AC777" s="71"/>
    </row>
    <row r="778" spans="1:29" ht="18" x14ac:dyDescent="0.4">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spans="1:29" ht="18" x14ac:dyDescent="0.4">
      <c r="A779" s="9"/>
      <c r="B779" s="9"/>
      <c r="C779" s="9"/>
      <c r="D779" s="9"/>
      <c r="E779" s="9"/>
      <c r="F779" s="9"/>
      <c r="G779" s="9"/>
      <c r="H779" s="9"/>
      <c r="I779" s="9"/>
      <c r="J779" s="9"/>
      <c r="K779" s="9"/>
      <c r="L779" s="9"/>
      <c r="M779" s="9"/>
      <c r="N779" s="9"/>
      <c r="O779" s="9"/>
      <c r="P779" s="72" t="s">
        <v>28</v>
      </c>
      <c r="Q779" s="72"/>
      <c r="R779" s="73" t="str">
        <f>R719</f>
        <v>พีรวัส</v>
      </c>
      <c r="S779" s="73"/>
      <c r="T779" s="73"/>
      <c r="U779" s="72" t="s">
        <v>30</v>
      </c>
      <c r="V779" s="72"/>
      <c r="W779" s="73" t="str">
        <f>W719</f>
        <v>วรพงศ์</v>
      </c>
      <c r="X779" s="73"/>
      <c r="Y779" s="73"/>
      <c r="Z779" s="8" t="s">
        <v>29</v>
      </c>
      <c r="AA779" s="74">
        <f>AA719</f>
        <v>46021</v>
      </c>
      <c r="AB779" s="74"/>
      <c r="AC779" s="74"/>
    </row>
    <row r="780" spans="1:29" ht="18" customHeight="1" x14ac:dyDescent="0.2"/>
    <row r="781" spans="1:29" ht="23.25" x14ac:dyDescent="0.5">
      <c r="A781" s="80" t="s">
        <v>26</v>
      </c>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c r="AA781" s="80"/>
      <c r="AB781" s="80"/>
      <c r="AC781" s="80"/>
    </row>
    <row r="782" spans="1:29" ht="21" x14ac:dyDescent="0.45">
      <c r="A782" s="6" t="s">
        <v>22</v>
      </c>
      <c r="B782" s="81" t="s">
        <v>313</v>
      </c>
      <c r="C782" s="81"/>
      <c r="D782" s="81"/>
      <c r="E782" s="81"/>
      <c r="F782" s="81"/>
      <c r="G782" s="81"/>
      <c r="H782" s="6" t="s">
        <v>24</v>
      </c>
      <c r="I782" s="84" t="s">
        <v>12</v>
      </c>
      <c r="J782" s="84"/>
      <c r="K782" s="84"/>
      <c r="L782" s="84"/>
      <c r="M782" s="83" t="s">
        <v>25</v>
      </c>
      <c r="N782" s="83"/>
      <c r="O782" s="81" t="s">
        <v>83</v>
      </c>
      <c r="P782" s="81"/>
      <c r="Q782" s="81"/>
      <c r="R782" s="81"/>
      <c r="S782" s="81"/>
      <c r="T782" s="6" t="s">
        <v>20</v>
      </c>
      <c r="U782" s="81">
        <f>$U$2</f>
        <v>2569</v>
      </c>
      <c r="V782" s="81"/>
      <c r="W782" s="83" t="s">
        <v>35</v>
      </c>
      <c r="X782" s="83"/>
      <c r="Y782" s="83"/>
      <c r="Z782" s="4" t="s">
        <v>137</v>
      </c>
      <c r="AA782" s="1"/>
      <c r="AB782" s="1"/>
      <c r="AC782" s="1"/>
    </row>
    <row r="783" spans="1:29" ht="18" x14ac:dyDescent="0.2">
      <c r="A783" s="20" t="s">
        <v>0</v>
      </c>
      <c r="B783" s="21" t="s">
        <v>2</v>
      </c>
      <c r="C783" s="75" t="s">
        <v>32</v>
      </c>
      <c r="D783" s="75"/>
      <c r="E783" s="75"/>
      <c r="F783" s="75"/>
      <c r="G783" s="75"/>
      <c r="H783" s="75" t="s">
        <v>7</v>
      </c>
      <c r="I783" s="75"/>
      <c r="J783" s="75"/>
      <c r="K783" s="75"/>
      <c r="L783" s="77" t="s">
        <v>8</v>
      </c>
      <c r="M783" s="78"/>
      <c r="N783" s="78"/>
      <c r="O783" s="79"/>
      <c r="P783" s="77" t="s">
        <v>9</v>
      </c>
      <c r="Q783" s="78"/>
      <c r="R783" s="78"/>
      <c r="S783" s="78"/>
      <c r="T783" s="79"/>
      <c r="U783" s="75" t="s">
        <v>10</v>
      </c>
      <c r="V783" s="75"/>
      <c r="W783" s="75"/>
      <c r="X783" s="75"/>
      <c r="Y783" s="75"/>
      <c r="Z783" s="75" t="s">
        <v>11</v>
      </c>
      <c r="AA783" s="75"/>
      <c r="AB783" s="75"/>
      <c r="AC783" s="75"/>
    </row>
    <row r="784" spans="1:29" ht="18" x14ac:dyDescent="0.2">
      <c r="A784" s="23" t="s">
        <v>1</v>
      </c>
      <c r="B784" s="24" t="s">
        <v>3</v>
      </c>
      <c r="C784" s="28" t="str">
        <f>C754</f>
        <v>1-5</v>
      </c>
      <c r="D784" s="28" t="str">
        <f t="shared" ref="D784:AC784" si="50">D754</f>
        <v>6-12</v>
      </c>
      <c r="E784" s="28" t="str">
        <f t="shared" si="50"/>
        <v>13-19</v>
      </c>
      <c r="F784" s="28" t="str">
        <f t="shared" si="50"/>
        <v>20-26</v>
      </c>
      <c r="G784" s="28" t="str">
        <f t="shared" si="50"/>
        <v>27-31</v>
      </c>
      <c r="H784" s="28" t="str">
        <f t="shared" si="50"/>
        <v>1-9</v>
      </c>
      <c r="I784" s="28" t="str">
        <f t="shared" si="50"/>
        <v>10-16</v>
      </c>
      <c r="J784" s="28" t="str">
        <f t="shared" si="50"/>
        <v>17-23</v>
      </c>
      <c r="K784" s="28" t="str">
        <f t="shared" si="50"/>
        <v>24-28</v>
      </c>
      <c r="L784" s="28" t="str">
        <f t="shared" si="50"/>
        <v>1-9</v>
      </c>
      <c r="M784" s="28" t="str">
        <f t="shared" si="50"/>
        <v>10-16</v>
      </c>
      <c r="N784" s="28" t="str">
        <f t="shared" si="50"/>
        <v>17-23</v>
      </c>
      <c r="O784" s="28" t="str">
        <f t="shared" si="50"/>
        <v>24-31</v>
      </c>
      <c r="P784" s="28" t="str">
        <f t="shared" si="50"/>
        <v>1-6</v>
      </c>
      <c r="Q784" s="28" t="str">
        <f t="shared" si="50"/>
        <v>7-13</v>
      </c>
      <c r="R784" s="28" t="str">
        <f t="shared" si="50"/>
        <v>14-20</v>
      </c>
      <c r="S784" s="28" t="str">
        <f t="shared" si="50"/>
        <v>21-27</v>
      </c>
      <c r="T784" s="28" t="str">
        <f t="shared" si="50"/>
        <v>28-30</v>
      </c>
      <c r="U784" s="28" t="str">
        <f t="shared" si="50"/>
        <v>1-4</v>
      </c>
      <c r="V784" s="28" t="str">
        <f t="shared" si="50"/>
        <v>5-11</v>
      </c>
      <c r="W784" s="28" t="str">
        <f t="shared" si="50"/>
        <v>12-18</v>
      </c>
      <c r="X784" s="28" t="str">
        <f t="shared" si="50"/>
        <v>19-25</v>
      </c>
      <c r="Y784" s="28" t="str">
        <f t="shared" si="50"/>
        <v>26-31</v>
      </c>
      <c r="Z784" s="28" t="str">
        <f t="shared" si="50"/>
        <v>1-8</v>
      </c>
      <c r="AA784" s="28" t="str">
        <f t="shared" si="50"/>
        <v>9-15</v>
      </c>
      <c r="AB784" s="28" t="str">
        <f t="shared" si="50"/>
        <v>16-22</v>
      </c>
      <c r="AC784" s="28" t="str">
        <f t="shared" si="50"/>
        <v>23-30</v>
      </c>
    </row>
    <row r="785" spans="1:29" ht="18" x14ac:dyDescent="0.2">
      <c r="A785" s="25"/>
      <c r="B785" s="26" t="s">
        <v>4</v>
      </c>
      <c r="C785" s="22" t="s">
        <v>12</v>
      </c>
      <c r="D785" s="22" t="s">
        <v>12</v>
      </c>
      <c r="E785" s="22" t="s">
        <v>12</v>
      </c>
      <c r="F785" s="22" t="s">
        <v>12</v>
      </c>
      <c r="G785" s="22" t="s">
        <v>12</v>
      </c>
      <c r="H785" s="22" t="s">
        <v>12</v>
      </c>
      <c r="I785" s="22" t="s">
        <v>12</v>
      </c>
      <c r="J785" s="22" t="s">
        <v>12</v>
      </c>
      <c r="K785" s="22" t="s">
        <v>12</v>
      </c>
      <c r="L785" s="22" t="s">
        <v>12</v>
      </c>
      <c r="M785" s="22" t="s">
        <v>12</v>
      </c>
      <c r="N785" s="22" t="s">
        <v>12</v>
      </c>
      <c r="O785" s="22" t="s">
        <v>12</v>
      </c>
      <c r="P785" s="22" t="s">
        <v>12</v>
      </c>
      <c r="Q785" s="22" t="s">
        <v>12</v>
      </c>
      <c r="R785" s="22" t="s">
        <v>12</v>
      </c>
      <c r="S785" s="22" t="s">
        <v>12</v>
      </c>
      <c r="T785" s="22" t="s">
        <v>12</v>
      </c>
      <c r="U785" s="22" t="s">
        <v>12</v>
      </c>
      <c r="V785" s="22" t="s">
        <v>12</v>
      </c>
      <c r="W785" s="22" t="s">
        <v>12</v>
      </c>
      <c r="X785" s="22" t="s">
        <v>12</v>
      </c>
      <c r="Y785" s="22" t="s">
        <v>12</v>
      </c>
      <c r="Z785" s="22" t="s">
        <v>12</v>
      </c>
      <c r="AA785" s="22" t="s">
        <v>12</v>
      </c>
      <c r="AB785" s="22" t="s">
        <v>12</v>
      </c>
      <c r="AC785" s="22" t="s">
        <v>12</v>
      </c>
    </row>
    <row r="786" spans="1:29" ht="18.75" customHeight="1" x14ac:dyDescent="0.2">
      <c r="A786" s="70" t="s">
        <v>319</v>
      </c>
      <c r="B786" s="27" t="s">
        <v>5</v>
      </c>
      <c r="C786" s="28"/>
      <c r="D786" s="28"/>
      <c r="E786" s="28"/>
      <c r="F786" s="28"/>
      <c r="G786" s="29" t="s">
        <v>60</v>
      </c>
      <c r="H786" s="28"/>
      <c r="I786" s="28"/>
      <c r="J786" s="28"/>
      <c r="K786" s="29" t="s">
        <v>60</v>
      </c>
      <c r="L786" s="28"/>
      <c r="M786" s="28"/>
      <c r="N786" s="28"/>
      <c r="O786" s="29" t="s">
        <v>60</v>
      </c>
      <c r="P786" s="29"/>
      <c r="Q786" s="28"/>
      <c r="R786" s="28"/>
      <c r="S786" s="28"/>
      <c r="T786" s="29" t="s">
        <v>60</v>
      </c>
      <c r="U786" s="28"/>
      <c r="V786" s="28"/>
      <c r="W786" s="28"/>
      <c r="X786" s="28"/>
      <c r="Y786" s="29" t="s">
        <v>60</v>
      </c>
      <c r="Z786" s="28"/>
      <c r="AA786" s="28"/>
      <c r="AB786" s="22"/>
      <c r="AC786" s="29" t="s">
        <v>60</v>
      </c>
    </row>
    <row r="787" spans="1:29" ht="18" x14ac:dyDescent="0.2">
      <c r="A787" s="70"/>
      <c r="B787" s="27" t="s">
        <v>6</v>
      </c>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row>
    <row r="788" spans="1:29" ht="18" x14ac:dyDescent="0.2">
      <c r="A788" s="70"/>
      <c r="B788" s="27" t="s">
        <v>3</v>
      </c>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row>
    <row r="789" spans="1:29" ht="18.75" customHeight="1" x14ac:dyDescent="0.2">
      <c r="A789" s="70" t="s">
        <v>321</v>
      </c>
      <c r="B789" s="27" t="s">
        <v>5</v>
      </c>
      <c r="C789" s="29" t="s">
        <v>60</v>
      </c>
      <c r="D789" s="29" t="s">
        <v>60</v>
      </c>
      <c r="E789" s="29" t="s">
        <v>60</v>
      </c>
      <c r="F789" s="29" t="s">
        <v>60</v>
      </c>
      <c r="G789" s="29" t="s">
        <v>60</v>
      </c>
      <c r="H789" s="29" t="s">
        <v>60</v>
      </c>
      <c r="I789" s="29" t="s">
        <v>60</v>
      </c>
      <c r="J789" s="29" t="s">
        <v>60</v>
      </c>
      <c r="K789" s="29" t="s">
        <v>60</v>
      </c>
      <c r="L789" s="29" t="s">
        <v>60</v>
      </c>
      <c r="M789" s="29" t="s">
        <v>60</v>
      </c>
      <c r="N789" s="29" t="s">
        <v>60</v>
      </c>
      <c r="O789" s="29" t="s">
        <v>60</v>
      </c>
      <c r="P789" s="29" t="s">
        <v>60</v>
      </c>
      <c r="Q789" s="29" t="s">
        <v>60</v>
      </c>
      <c r="R789" s="29" t="s">
        <v>60</v>
      </c>
      <c r="S789" s="29" t="s">
        <v>60</v>
      </c>
      <c r="T789" s="29" t="s">
        <v>60</v>
      </c>
      <c r="U789" s="29" t="s">
        <v>60</v>
      </c>
      <c r="V789" s="29" t="s">
        <v>60</v>
      </c>
      <c r="W789" s="29" t="s">
        <v>60</v>
      </c>
      <c r="X789" s="29" t="s">
        <v>60</v>
      </c>
      <c r="Y789" s="29" t="s">
        <v>60</v>
      </c>
      <c r="Z789" s="29" t="s">
        <v>60</v>
      </c>
      <c r="AA789" s="29" t="s">
        <v>60</v>
      </c>
      <c r="AB789" s="29" t="s">
        <v>60</v>
      </c>
      <c r="AC789" s="29" t="s">
        <v>60</v>
      </c>
    </row>
    <row r="790" spans="1:29" ht="18" x14ac:dyDescent="0.2">
      <c r="A790" s="70"/>
      <c r="B790" s="27" t="s">
        <v>6</v>
      </c>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row>
    <row r="791" spans="1:29" ht="18" x14ac:dyDescent="0.2">
      <c r="A791" s="70"/>
      <c r="B791" s="27" t="s">
        <v>3</v>
      </c>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row>
    <row r="792" spans="1:29" ht="18.75" customHeight="1" x14ac:dyDescent="0.2">
      <c r="A792" s="70" t="s">
        <v>322</v>
      </c>
      <c r="B792" s="27" t="s">
        <v>5</v>
      </c>
      <c r="C792" s="29" t="s">
        <v>60</v>
      </c>
      <c r="D792" s="28"/>
      <c r="E792" s="28"/>
      <c r="F792" s="28"/>
      <c r="G792" s="28"/>
      <c r="H792" s="29" t="s">
        <v>60</v>
      </c>
      <c r="I792" s="28"/>
      <c r="J792" s="28"/>
      <c r="K792" s="28"/>
      <c r="L792" s="29" t="s">
        <v>60</v>
      </c>
      <c r="M792" s="28"/>
      <c r="N792" s="28"/>
      <c r="O792" s="28"/>
      <c r="P792" s="29" t="s">
        <v>60</v>
      </c>
      <c r="Q792" s="28"/>
      <c r="R792" s="28"/>
      <c r="S792" s="28"/>
      <c r="T792" s="28"/>
      <c r="U792" s="29" t="s">
        <v>60</v>
      </c>
      <c r="V792" s="28"/>
      <c r="W792" s="28"/>
      <c r="X792" s="28"/>
      <c r="Y792" s="28"/>
      <c r="Z792" s="29" t="s">
        <v>60</v>
      </c>
      <c r="AA792" s="28"/>
      <c r="AB792" s="22"/>
      <c r="AC792" s="28"/>
    </row>
    <row r="793" spans="1:29" ht="18" x14ac:dyDescent="0.2">
      <c r="A793" s="70"/>
      <c r="B793" s="27" t="s">
        <v>6</v>
      </c>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row>
    <row r="794" spans="1:29" ht="18" x14ac:dyDescent="0.2">
      <c r="A794" s="70"/>
      <c r="B794" s="27" t="s">
        <v>3</v>
      </c>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row>
    <row r="795" spans="1:29" ht="18" x14ac:dyDescent="0.2">
      <c r="A795" s="20" t="s">
        <v>0</v>
      </c>
      <c r="B795" s="21" t="s">
        <v>2</v>
      </c>
      <c r="C795" s="76" t="s">
        <v>13</v>
      </c>
      <c r="D795" s="76"/>
      <c r="E795" s="76"/>
      <c r="F795" s="76"/>
      <c r="G795" s="76"/>
      <c r="H795" s="76" t="s">
        <v>14</v>
      </c>
      <c r="I795" s="76"/>
      <c r="J795" s="76"/>
      <c r="K795" s="76"/>
      <c r="L795" s="76" t="s">
        <v>15</v>
      </c>
      <c r="M795" s="76"/>
      <c r="N795" s="76"/>
      <c r="O795" s="76"/>
      <c r="P795" s="76" t="s">
        <v>16</v>
      </c>
      <c r="Q795" s="76"/>
      <c r="R795" s="76"/>
      <c r="S795" s="76"/>
      <c r="T795" s="76"/>
      <c r="U795" s="76" t="s">
        <v>17</v>
      </c>
      <c r="V795" s="76"/>
      <c r="W795" s="76"/>
      <c r="X795" s="76"/>
      <c r="Y795" s="76" t="s">
        <v>18</v>
      </c>
      <c r="Z795" s="76"/>
      <c r="AA795" s="76"/>
      <c r="AB795" s="76"/>
      <c r="AC795" s="76"/>
    </row>
    <row r="796" spans="1:29" ht="18" x14ac:dyDescent="0.2">
      <c r="A796" s="20" t="s">
        <v>1</v>
      </c>
      <c r="B796" s="24" t="s">
        <v>3</v>
      </c>
      <c r="C796" s="28" t="str">
        <f>C766</f>
        <v>1-6</v>
      </c>
      <c r="D796" s="28" t="str">
        <f t="shared" ref="D796:AC796" si="51">D766</f>
        <v>7-13</v>
      </c>
      <c r="E796" s="28" t="str">
        <f t="shared" si="51"/>
        <v>14-20</v>
      </c>
      <c r="F796" s="28" t="str">
        <f t="shared" si="51"/>
        <v>21-27</v>
      </c>
      <c r="G796" s="28" t="str">
        <f t="shared" si="51"/>
        <v>28-31</v>
      </c>
      <c r="H796" s="28" t="str">
        <f t="shared" si="51"/>
        <v>1-10</v>
      </c>
      <c r="I796" s="28" t="str">
        <f t="shared" si="51"/>
        <v>11-17</v>
      </c>
      <c r="J796" s="28" t="str">
        <f t="shared" si="51"/>
        <v>18-24</v>
      </c>
      <c r="K796" s="28" t="str">
        <f t="shared" si="51"/>
        <v>25-31</v>
      </c>
      <c r="L796" s="28" t="str">
        <f t="shared" si="51"/>
        <v>1-7</v>
      </c>
      <c r="M796" s="28" t="str">
        <f t="shared" si="51"/>
        <v>8-14</v>
      </c>
      <c r="N796" s="28" t="str">
        <f t="shared" si="51"/>
        <v>15-21</v>
      </c>
      <c r="O796" s="28" t="str">
        <f t="shared" si="51"/>
        <v>22-30</v>
      </c>
      <c r="P796" s="28" t="str">
        <f t="shared" si="51"/>
        <v>1-5</v>
      </c>
      <c r="Q796" s="28" t="str">
        <f t="shared" si="51"/>
        <v>6-12</v>
      </c>
      <c r="R796" s="28" t="str">
        <f t="shared" si="51"/>
        <v>13-19</v>
      </c>
      <c r="S796" s="28" t="str">
        <f t="shared" si="51"/>
        <v>20-26</v>
      </c>
      <c r="T796" s="28" t="str">
        <f t="shared" si="51"/>
        <v>27-31</v>
      </c>
      <c r="U796" s="28" t="str">
        <f t="shared" si="51"/>
        <v>1-9</v>
      </c>
      <c r="V796" s="28" t="str">
        <f t="shared" si="51"/>
        <v>10-16</v>
      </c>
      <c r="W796" s="28" t="str">
        <f t="shared" si="51"/>
        <v>17-23</v>
      </c>
      <c r="X796" s="28" t="str">
        <f t="shared" si="51"/>
        <v>24-30</v>
      </c>
      <c r="Y796" s="28" t="str">
        <f t="shared" si="51"/>
        <v>1-7</v>
      </c>
      <c r="Z796" s="28" t="str">
        <f t="shared" si="51"/>
        <v>8-14</v>
      </c>
      <c r="AA796" s="28" t="str">
        <f t="shared" si="51"/>
        <v>15-21</v>
      </c>
      <c r="AB796" s="28" t="str">
        <f t="shared" si="51"/>
        <v>22-28</v>
      </c>
      <c r="AC796" s="28" t="str">
        <f t="shared" si="51"/>
        <v>29-31</v>
      </c>
    </row>
    <row r="797" spans="1:29" ht="18" x14ac:dyDescent="0.2">
      <c r="A797" s="34"/>
      <c r="B797" s="26" t="s">
        <v>4</v>
      </c>
      <c r="C797" s="22" t="s">
        <v>12</v>
      </c>
      <c r="D797" s="22" t="s">
        <v>12</v>
      </c>
      <c r="E797" s="22" t="s">
        <v>12</v>
      </c>
      <c r="F797" s="22" t="s">
        <v>12</v>
      </c>
      <c r="G797" s="22" t="s">
        <v>12</v>
      </c>
      <c r="H797" s="22" t="s">
        <v>12</v>
      </c>
      <c r="I797" s="22" t="s">
        <v>12</v>
      </c>
      <c r="J797" s="22" t="s">
        <v>12</v>
      </c>
      <c r="K797" s="22" t="s">
        <v>12</v>
      </c>
      <c r="L797" s="22" t="s">
        <v>12</v>
      </c>
      <c r="M797" s="22" t="s">
        <v>12</v>
      </c>
      <c r="N797" s="22" t="s">
        <v>12</v>
      </c>
      <c r="O797" s="22" t="s">
        <v>12</v>
      </c>
      <c r="P797" s="22" t="s">
        <v>12</v>
      </c>
      <c r="Q797" s="22" t="s">
        <v>12</v>
      </c>
      <c r="R797" s="22" t="s">
        <v>12</v>
      </c>
      <c r="S797" s="22" t="s">
        <v>12</v>
      </c>
      <c r="T797" s="22" t="s">
        <v>12</v>
      </c>
      <c r="U797" s="22" t="s">
        <v>12</v>
      </c>
      <c r="V797" s="22" t="s">
        <v>12</v>
      </c>
      <c r="W797" s="22" t="s">
        <v>12</v>
      </c>
      <c r="X797" s="22" t="s">
        <v>12</v>
      </c>
      <c r="Y797" s="22" t="s">
        <v>12</v>
      </c>
      <c r="Z797" s="22" t="s">
        <v>12</v>
      </c>
      <c r="AA797" s="22" t="s">
        <v>12</v>
      </c>
      <c r="AB797" s="22" t="s">
        <v>12</v>
      </c>
      <c r="AC797" s="22" t="s">
        <v>12</v>
      </c>
    </row>
    <row r="798" spans="1:29" ht="18.75" customHeight="1" x14ac:dyDescent="0.2">
      <c r="A798" s="70" t="s">
        <v>319</v>
      </c>
      <c r="B798" s="27" t="s">
        <v>5</v>
      </c>
      <c r="C798" s="28"/>
      <c r="D798" s="28"/>
      <c r="E798" s="28"/>
      <c r="F798" s="28"/>
      <c r="G798" s="29" t="s">
        <v>60</v>
      </c>
      <c r="H798" s="28"/>
      <c r="I798" s="28"/>
      <c r="J798" s="28"/>
      <c r="K798" s="29" t="s">
        <v>60</v>
      </c>
      <c r="L798" s="28"/>
      <c r="M798" s="28"/>
      <c r="N798" s="28"/>
      <c r="O798" s="29" t="s">
        <v>60</v>
      </c>
      <c r="P798" s="28"/>
      <c r="Q798" s="28"/>
      <c r="R798" s="28"/>
      <c r="S798" s="29"/>
      <c r="T798" s="29" t="s">
        <v>60</v>
      </c>
      <c r="U798" s="28"/>
      <c r="V798" s="28"/>
      <c r="W798" s="28"/>
      <c r="X798" s="29" t="s">
        <v>60</v>
      </c>
      <c r="Y798" s="28"/>
      <c r="Z798" s="28"/>
      <c r="AA798" s="28"/>
      <c r="AB798" s="22"/>
      <c r="AC798" s="29" t="s">
        <v>60</v>
      </c>
    </row>
    <row r="799" spans="1:29" ht="18" x14ac:dyDescent="0.2">
      <c r="A799" s="70"/>
      <c r="B799" s="27" t="s">
        <v>6</v>
      </c>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row>
    <row r="800" spans="1:29" ht="18" x14ac:dyDescent="0.2">
      <c r="A800" s="70"/>
      <c r="B800" s="27" t="s">
        <v>3</v>
      </c>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row>
    <row r="801" spans="1:29" ht="18.75" customHeight="1" x14ac:dyDescent="0.2">
      <c r="A801" s="70" t="s">
        <v>321</v>
      </c>
      <c r="B801" s="27" t="s">
        <v>5</v>
      </c>
      <c r="C801" s="29" t="s">
        <v>60</v>
      </c>
      <c r="D801" s="29" t="s">
        <v>60</v>
      </c>
      <c r="E801" s="29" t="s">
        <v>60</v>
      </c>
      <c r="F801" s="29" t="s">
        <v>60</v>
      </c>
      <c r="G801" s="29" t="s">
        <v>60</v>
      </c>
      <c r="H801" s="29" t="s">
        <v>60</v>
      </c>
      <c r="I801" s="29" t="s">
        <v>60</v>
      </c>
      <c r="J801" s="29" t="s">
        <v>60</v>
      </c>
      <c r="K801" s="29" t="s">
        <v>60</v>
      </c>
      <c r="L801" s="29" t="s">
        <v>60</v>
      </c>
      <c r="M801" s="29" t="s">
        <v>60</v>
      </c>
      <c r="N801" s="29" t="s">
        <v>60</v>
      </c>
      <c r="O801" s="29" t="s">
        <v>60</v>
      </c>
      <c r="P801" s="29" t="s">
        <v>60</v>
      </c>
      <c r="Q801" s="29" t="s">
        <v>60</v>
      </c>
      <c r="R801" s="29" t="s">
        <v>60</v>
      </c>
      <c r="S801" s="29" t="s">
        <v>60</v>
      </c>
      <c r="T801" s="29" t="s">
        <v>60</v>
      </c>
      <c r="U801" s="29" t="s">
        <v>60</v>
      </c>
      <c r="V801" s="29" t="s">
        <v>60</v>
      </c>
      <c r="W801" s="29" t="s">
        <v>60</v>
      </c>
      <c r="X801" s="29" t="s">
        <v>60</v>
      </c>
      <c r="Y801" s="29" t="s">
        <v>60</v>
      </c>
      <c r="Z801" s="29" t="s">
        <v>60</v>
      </c>
      <c r="AA801" s="29" t="s">
        <v>60</v>
      </c>
      <c r="AB801" s="29" t="s">
        <v>60</v>
      </c>
      <c r="AC801" s="29" t="s">
        <v>60</v>
      </c>
    </row>
    <row r="802" spans="1:29" ht="18" x14ac:dyDescent="0.2">
      <c r="A802" s="70"/>
      <c r="B802" s="27" t="s">
        <v>6</v>
      </c>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row>
    <row r="803" spans="1:29" ht="18" x14ac:dyDescent="0.2">
      <c r="A803" s="70"/>
      <c r="B803" s="27" t="s">
        <v>3</v>
      </c>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row>
    <row r="804" spans="1:29" ht="18.75" customHeight="1" x14ac:dyDescent="0.2">
      <c r="A804" s="70" t="s">
        <v>322</v>
      </c>
      <c r="B804" s="27" t="s">
        <v>5</v>
      </c>
      <c r="C804" s="29" t="s">
        <v>60</v>
      </c>
      <c r="D804" s="28"/>
      <c r="E804" s="28"/>
      <c r="F804" s="28"/>
      <c r="G804" s="28"/>
      <c r="H804" s="29" t="s">
        <v>60</v>
      </c>
      <c r="I804" s="28"/>
      <c r="J804" s="28"/>
      <c r="K804" s="28"/>
      <c r="L804" s="29" t="s">
        <v>60</v>
      </c>
      <c r="M804" s="28"/>
      <c r="N804" s="28"/>
      <c r="O804" s="28"/>
      <c r="P804" s="29" t="s">
        <v>60</v>
      </c>
      <c r="Q804" s="28"/>
      <c r="R804" s="28"/>
      <c r="S804" s="28"/>
      <c r="T804" s="28"/>
      <c r="U804" s="29" t="s">
        <v>60</v>
      </c>
      <c r="V804" s="28"/>
      <c r="W804" s="28"/>
      <c r="X804" s="28"/>
      <c r="Y804" s="29" t="s">
        <v>60</v>
      </c>
      <c r="Z804" s="28"/>
      <c r="AA804" s="28"/>
      <c r="AB804" s="22"/>
      <c r="AC804" s="28"/>
    </row>
    <row r="805" spans="1:29" ht="18" x14ac:dyDescent="0.2">
      <c r="A805" s="70"/>
      <c r="B805" s="27" t="s">
        <v>6</v>
      </c>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row>
    <row r="806" spans="1:29" ht="18" x14ac:dyDescent="0.2">
      <c r="A806" s="70"/>
      <c r="B806" s="27" t="s">
        <v>3</v>
      </c>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row>
    <row r="807" spans="1:29" ht="18" x14ac:dyDescent="0.4">
      <c r="A807" s="4" t="s">
        <v>219</v>
      </c>
      <c r="B807" s="4"/>
      <c r="C807" s="4"/>
      <c r="D807" s="4"/>
      <c r="E807" s="4"/>
      <c r="F807" s="4"/>
      <c r="G807" s="4"/>
      <c r="H807" s="4"/>
      <c r="I807" s="4"/>
      <c r="J807" s="4"/>
      <c r="K807" s="4"/>
      <c r="L807" s="4"/>
      <c r="M807" s="4"/>
      <c r="N807" s="4"/>
      <c r="O807" s="4"/>
      <c r="P807" s="4"/>
      <c r="Q807" s="4"/>
      <c r="R807" s="4"/>
      <c r="S807" s="4"/>
      <c r="T807" s="4"/>
      <c r="U807" s="4"/>
      <c r="V807" s="4"/>
      <c r="W807" s="71" t="s">
        <v>173</v>
      </c>
      <c r="X807" s="71"/>
      <c r="Y807" s="71"/>
      <c r="Z807" s="71"/>
      <c r="AA807" s="71"/>
      <c r="AB807" s="71"/>
      <c r="AC807" s="71"/>
    </row>
    <row r="808" spans="1:29" ht="18" x14ac:dyDescent="0.4">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spans="1:29" ht="18" x14ac:dyDescent="0.4">
      <c r="A809" s="9"/>
      <c r="B809" s="9"/>
      <c r="C809" s="9"/>
      <c r="D809" s="9"/>
      <c r="E809" s="9"/>
      <c r="F809" s="9"/>
      <c r="G809" s="9"/>
      <c r="H809" s="9"/>
      <c r="I809" s="9"/>
      <c r="J809" s="9"/>
      <c r="K809" s="9"/>
      <c r="L809" s="9"/>
      <c r="M809" s="9"/>
      <c r="N809" s="9"/>
      <c r="O809" s="9"/>
      <c r="P809" s="72" t="s">
        <v>28</v>
      </c>
      <c r="Q809" s="72"/>
      <c r="R809" s="73" t="str">
        <f>R29</f>
        <v>พีรวัส</v>
      </c>
      <c r="S809" s="73"/>
      <c r="T809" s="73"/>
      <c r="U809" s="72" t="s">
        <v>30</v>
      </c>
      <c r="V809" s="72"/>
      <c r="W809" s="73" t="str">
        <f>W29</f>
        <v>วรพงศ์</v>
      </c>
      <c r="X809" s="73"/>
      <c r="Y809" s="73"/>
      <c r="Z809" s="8" t="s">
        <v>29</v>
      </c>
      <c r="AA809" s="74">
        <f>AA29</f>
        <v>46021</v>
      </c>
      <c r="AB809" s="74"/>
      <c r="AC809" s="74"/>
    </row>
    <row r="810" spans="1:29" ht="18" customHeight="1" x14ac:dyDescent="0.2"/>
    <row r="811" spans="1:29" ht="23.25" x14ac:dyDescent="0.5">
      <c r="A811" s="80" t="s">
        <v>26</v>
      </c>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row>
    <row r="812" spans="1:29" ht="21" x14ac:dyDescent="0.45">
      <c r="A812" s="6" t="s">
        <v>22</v>
      </c>
      <c r="B812" s="81" t="s">
        <v>138</v>
      </c>
      <c r="C812" s="81"/>
      <c r="D812" s="81"/>
      <c r="E812" s="81"/>
      <c r="F812" s="81"/>
      <c r="G812" s="81"/>
      <c r="H812" s="6" t="s">
        <v>24</v>
      </c>
      <c r="I812" s="84" t="s">
        <v>12</v>
      </c>
      <c r="J812" s="84"/>
      <c r="K812" s="84"/>
      <c r="L812" s="84"/>
      <c r="M812" s="83" t="s">
        <v>25</v>
      </c>
      <c r="N812" s="83"/>
      <c r="O812" s="81" t="s">
        <v>139</v>
      </c>
      <c r="P812" s="81"/>
      <c r="Q812" s="81"/>
      <c r="R812" s="81"/>
      <c r="S812" s="81"/>
      <c r="T812" s="6" t="s">
        <v>20</v>
      </c>
      <c r="U812" s="81">
        <f>$U$2</f>
        <v>2569</v>
      </c>
      <c r="V812" s="81"/>
      <c r="W812" s="83" t="s">
        <v>35</v>
      </c>
      <c r="X812" s="83"/>
      <c r="Y812" s="83"/>
      <c r="Z812" s="4" t="s">
        <v>140</v>
      </c>
      <c r="AA812" s="1"/>
      <c r="AB812" s="1"/>
      <c r="AC812" s="1"/>
    </row>
    <row r="813" spans="1:29" ht="18" x14ac:dyDescent="0.2">
      <c r="A813" s="20" t="s">
        <v>0</v>
      </c>
      <c r="B813" s="21" t="s">
        <v>2</v>
      </c>
      <c r="C813" s="75" t="s">
        <v>32</v>
      </c>
      <c r="D813" s="75"/>
      <c r="E813" s="75"/>
      <c r="F813" s="75"/>
      <c r="G813" s="75"/>
      <c r="H813" s="75" t="s">
        <v>7</v>
      </c>
      <c r="I813" s="75"/>
      <c r="J813" s="75"/>
      <c r="K813" s="75"/>
      <c r="L813" s="77" t="s">
        <v>8</v>
      </c>
      <c r="M813" s="78"/>
      <c r="N813" s="78"/>
      <c r="O813" s="79"/>
      <c r="P813" s="77" t="s">
        <v>9</v>
      </c>
      <c r="Q813" s="78"/>
      <c r="R813" s="78"/>
      <c r="S813" s="78"/>
      <c r="T813" s="79"/>
      <c r="U813" s="75" t="s">
        <v>10</v>
      </c>
      <c r="V813" s="75"/>
      <c r="W813" s="75"/>
      <c r="X813" s="75"/>
      <c r="Y813" s="75"/>
      <c r="Z813" s="75" t="s">
        <v>11</v>
      </c>
      <c r="AA813" s="75"/>
      <c r="AB813" s="75"/>
      <c r="AC813" s="75"/>
    </row>
    <row r="814" spans="1:29" ht="18" x14ac:dyDescent="0.2">
      <c r="A814" s="23" t="s">
        <v>1</v>
      </c>
      <c r="B814" s="24" t="s">
        <v>3</v>
      </c>
      <c r="C814" s="28" t="str">
        <f>C784</f>
        <v>1-5</v>
      </c>
      <c r="D814" s="28" t="str">
        <f t="shared" ref="D814:AC814" si="52">D784</f>
        <v>6-12</v>
      </c>
      <c r="E814" s="28" t="str">
        <f t="shared" si="52"/>
        <v>13-19</v>
      </c>
      <c r="F814" s="28" t="str">
        <f t="shared" si="52"/>
        <v>20-26</v>
      </c>
      <c r="G814" s="28" t="str">
        <f t="shared" si="52"/>
        <v>27-31</v>
      </c>
      <c r="H814" s="28" t="str">
        <f t="shared" si="52"/>
        <v>1-9</v>
      </c>
      <c r="I814" s="28" t="str">
        <f t="shared" si="52"/>
        <v>10-16</v>
      </c>
      <c r="J814" s="28" t="str">
        <f t="shared" si="52"/>
        <v>17-23</v>
      </c>
      <c r="K814" s="28" t="str">
        <f t="shared" si="52"/>
        <v>24-28</v>
      </c>
      <c r="L814" s="28" t="str">
        <f t="shared" si="52"/>
        <v>1-9</v>
      </c>
      <c r="M814" s="28" t="str">
        <f t="shared" si="52"/>
        <v>10-16</v>
      </c>
      <c r="N814" s="28" t="str">
        <f t="shared" si="52"/>
        <v>17-23</v>
      </c>
      <c r="O814" s="28" t="str">
        <f t="shared" si="52"/>
        <v>24-31</v>
      </c>
      <c r="P814" s="28" t="str">
        <f t="shared" si="52"/>
        <v>1-6</v>
      </c>
      <c r="Q814" s="28" t="str">
        <f t="shared" si="52"/>
        <v>7-13</v>
      </c>
      <c r="R814" s="28" t="str">
        <f t="shared" si="52"/>
        <v>14-20</v>
      </c>
      <c r="S814" s="28" t="str">
        <f t="shared" si="52"/>
        <v>21-27</v>
      </c>
      <c r="T814" s="28" t="str">
        <f t="shared" si="52"/>
        <v>28-30</v>
      </c>
      <c r="U814" s="28" t="str">
        <f t="shared" si="52"/>
        <v>1-4</v>
      </c>
      <c r="V814" s="28" t="str">
        <f t="shared" si="52"/>
        <v>5-11</v>
      </c>
      <c r="W814" s="28" t="str">
        <f t="shared" si="52"/>
        <v>12-18</v>
      </c>
      <c r="X814" s="28" t="str">
        <f t="shared" si="52"/>
        <v>19-25</v>
      </c>
      <c r="Y814" s="28" t="str">
        <f t="shared" si="52"/>
        <v>26-31</v>
      </c>
      <c r="Z814" s="28" t="str">
        <f t="shared" si="52"/>
        <v>1-8</v>
      </c>
      <c r="AA814" s="28" t="str">
        <f t="shared" si="52"/>
        <v>9-15</v>
      </c>
      <c r="AB814" s="28" t="str">
        <f t="shared" si="52"/>
        <v>16-22</v>
      </c>
      <c r="AC814" s="28" t="str">
        <f t="shared" si="52"/>
        <v>23-30</v>
      </c>
    </row>
    <row r="815" spans="1:29" ht="18" x14ac:dyDescent="0.2">
      <c r="A815" s="25"/>
      <c r="B815" s="26" t="s">
        <v>4</v>
      </c>
      <c r="C815" s="22" t="s">
        <v>12</v>
      </c>
      <c r="D815" s="22" t="s">
        <v>12</v>
      </c>
      <c r="E815" s="22" t="s">
        <v>12</v>
      </c>
      <c r="F815" s="22" t="s">
        <v>12</v>
      </c>
      <c r="G815" s="22" t="s">
        <v>12</v>
      </c>
      <c r="H815" s="22" t="s">
        <v>12</v>
      </c>
      <c r="I815" s="22" t="s">
        <v>12</v>
      </c>
      <c r="J815" s="22" t="s">
        <v>12</v>
      </c>
      <c r="K815" s="22" t="s">
        <v>12</v>
      </c>
      <c r="L815" s="22" t="s">
        <v>12</v>
      </c>
      <c r="M815" s="22" t="s">
        <v>12</v>
      </c>
      <c r="N815" s="22" t="s">
        <v>12</v>
      </c>
      <c r="O815" s="22" t="s">
        <v>12</v>
      </c>
      <c r="P815" s="22" t="s">
        <v>12</v>
      </c>
      <c r="Q815" s="22" t="s">
        <v>12</v>
      </c>
      <c r="R815" s="22" t="s">
        <v>12</v>
      </c>
      <c r="S815" s="22" t="s">
        <v>12</v>
      </c>
      <c r="T815" s="22" t="s">
        <v>12</v>
      </c>
      <c r="U815" s="22" t="s">
        <v>12</v>
      </c>
      <c r="V815" s="22" t="s">
        <v>12</v>
      </c>
      <c r="W815" s="22" t="s">
        <v>12</v>
      </c>
      <c r="X815" s="22" t="s">
        <v>12</v>
      </c>
      <c r="Y815" s="22" t="s">
        <v>12</v>
      </c>
      <c r="Z815" s="22" t="s">
        <v>12</v>
      </c>
      <c r="AA815" s="22" t="s">
        <v>12</v>
      </c>
      <c r="AB815" s="22" t="s">
        <v>12</v>
      </c>
      <c r="AC815" s="22" t="s">
        <v>12</v>
      </c>
    </row>
    <row r="816" spans="1:29" ht="18.75" customHeight="1" x14ac:dyDescent="0.2">
      <c r="A816" s="70" t="s">
        <v>141</v>
      </c>
      <c r="B816" s="27" t="s">
        <v>5</v>
      </c>
      <c r="C816" s="28"/>
      <c r="D816" s="28"/>
      <c r="E816" s="28"/>
      <c r="F816" s="28"/>
      <c r="G816" s="29"/>
      <c r="H816" s="28"/>
      <c r="I816" s="28"/>
      <c r="J816" s="28"/>
      <c r="K816" s="29"/>
      <c r="L816" s="28"/>
      <c r="M816" s="28"/>
      <c r="N816" s="28"/>
      <c r="O816" s="28"/>
      <c r="P816" s="29"/>
      <c r="Q816" s="28"/>
      <c r="R816" s="28"/>
      <c r="S816" s="28"/>
      <c r="T816" s="29"/>
      <c r="U816" s="28"/>
      <c r="V816" s="28"/>
      <c r="W816" s="28"/>
      <c r="X816" s="28"/>
      <c r="Y816" s="29"/>
      <c r="Z816" s="28"/>
      <c r="AA816" s="28"/>
      <c r="AB816" s="22"/>
      <c r="AC816" s="29"/>
    </row>
    <row r="817" spans="1:29" ht="18" x14ac:dyDescent="0.2">
      <c r="A817" s="70"/>
      <c r="B817" s="27" t="s">
        <v>6</v>
      </c>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row>
    <row r="818" spans="1:29" ht="18" x14ac:dyDescent="0.2">
      <c r="A818" s="70"/>
      <c r="B818" s="27" t="s">
        <v>3</v>
      </c>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row>
    <row r="819" spans="1:29" ht="18.75" customHeight="1" x14ac:dyDescent="0.2">
      <c r="A819" s="70"/>
      <c r="B819" s="27" t="s">
        <v>5</v>
      </c>
      <c r="C819" s="35"/>
      <c r="D819" s="28"/>
      <c r="E819" s="35"/>
      <c r="F819" s="35"/>
      <c r="G819" s="29"/>
      <c r="H819" s="28"/>
      <c r="I819" s="28"/>
      <c r="J819" s="28"/>
      <c r="K819" s="29"/>
      <c r="L819" s="28"/>
      <c r="M819" s="28"/>
      <c r="N819" s="28"/>
      <c r="O819" s="28"/>
      <c r="P819" s="29"/>
      <c r="Q819" s="28"/>
      <c r="R819" s="28"/>
      <c r="S819" s="28"/>
      <c r="T819" s="29"/>
      <c r="U819" s="28"/>
      <c r="V819" s="28"/>
      <c r="W819" s="28"/>
      <c r="X819" s="28"/>
      <c r="Y819" s="29"/>
      <c r="Z819" s="28"/>
      <c r="AA819" s="28"/>
      <c r="AB819" s="22"/>
      <c r="AC819" s="29"/>
    </row>
    <row r="820" spans="1:29" ht="18" x14ac:dyDescent="0.2">
      <c r="A820" s="70"/>
      <c r="B820" s="27" t="s">
        <v>6</v>
      </c>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row>
    <row r="821" spans="1:29" ht="18" x14ac:dyDescent="0.2">
      <c r="A821" s="70"/>
      <c r="B821" s="27" t="s">
        <v>3</v>
      </c>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row>
    <row r="822" spans="1:29" ht="18.75" customHeight="1" x14ac:dyDescent="0.2">
      <c r="A822" s="70"/>
      <c r="B822" s="27" t="s">
        <v>5</v>
      </c>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2"/>
      <c r="AC822" s="28"/>
    </row>
    <row r="823" spans="1:29" ht="18" x14ac:dyDescent="0.2">
      <c r="A823" s="70"/>
      <c r="B823" s="27" t="s">
        <v>6</v>
      </c>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row>
    <row r="824" spans="1:29" ht="18" x14ac:dyDescent="0.2">
      <c r="A824" s="70"/>
      <c r="B824" s="27" t="s">
        <v>3</v>
      </c>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row>
    <row r="825" spans="1:29" ht="18" x14ac:dyDescent="0.2">
      <c r="A825" s="20" t="s">
        <v>0</v>
      </c>
      <c r="B825" s="21" t="s">
        <v>2</v>
      </c>
      <c r="C825" s="76" t="s">
        <v>13</v>
      </c>
      <c r="D825" s="76"/>
      <c r="E825" s="76"/>
      <c r="F825" s="76"/>
      <c r="G825" s="76"/>
      <c r="H825" s="76" t="s">
        <v>14</v>
      </c>
      <c r="I825" s="76"/>
      <c r="J825" s="76"/>
      <c r="K825" s="76"/>
      <c r="L825" s="76" t="s">
        <v>15</v>
      </c>
      <c r="M825" s="76"/>
      <c r="N825" s="76"/>
      <c r="O825" s="76"/>
      <c r="P825" s="76" t="s">
        <v>16</v>
      </c>
      <c r="Q825" s="76"/>
      <c r="R825" s="76"/>
      <c r="S825" s="76"/>
      <c r="T825" s="76"/>
      <c r="U825" s="76" t="s">
        <v>17</v>
      </c>
      <c r="V825" s="76"/>
      <c r="W825" s="76"/>
      <c r="X825" s="76"/>
      <c r="Y825" s="76" t="s">
        <v>18</v>
      </c>
      <c r="Z825" s="76"/>
      <c r="AA825" s="76"/>
      <c r="AB825" s="76"/>
      <c r="AC825" s="76"/>
    </row>
    <row r="826" spans="1:29" ht="18" x14ac:dyDescent="0.2">
      <c r="A826" s="20" t="s">
        <v>1</v>
      </c>
      <c r="B826" s="24" t="s">
        <v>3</v>
      </c>
      <c r="C826" s="35" t="str">
        <f t="shared" ref="C826:AC826" si="53">C796</f>
        <v>1-6</v>
      </c>
      <c r="D826" s="35" t="str">
        <f t="shared" si="53"/>
        <v>7-13</v>
      </c>
      <c r="E826" s="35" t="str">
        <f t="shared" si="53"/>
        <v>14-20</v>
      </c>
      <c r="F826" s="35" t="str">
        <f t="shared" si="53"/>
        <v>21-27</v>
      </c>
      <c r="G826" s="35" t="str">
        <f t="shared" si="53"/>
        <v>28-31</v>
      </c>
      <c r="H826" s="35" t="str">
        <f t="shared" si="53"/>
        <v>1-10</v>
      </c>
      <c r="I826" s="35" t="str">
        <f t="shared" si="53"/>
        <v>11-17</v>
      </c>
      <c r="J826" s="35" t="str">
        <f t="shared" si="53"/>
        <v>18-24</v>
      </c>
      <c r="K826" s="35" t="str">
        <f t="shared" si="53"/>
        <v>25-31</v>
      </c>
      <c r="L826" s="35" t="str">
        <f t="shared" si="53"/>
        <v>1-7</v>
      </c>
      <c r="M826" s="35" t="str">
        <f t="shared" si="53"/>
        <v>8-14</v>
      </c>
      <c r="N826" s="35" t="str">
        <f t="shared" si="53"/>
        <v>15-21</v>
      </c>
      <c r="O826" s="35" t="str">
        <f t="shared" si="53"/>
        <v>22-30</v>
      </c>
      <c r="P826" s="35" t="str">
        <f t="shared" si="53"/>
        <v>1-5</v>
      </c>
      <c r="Q826" s="35" t="str">
        <f t="shared" si="53"/>
        <v>6-12</v>
      </c>
      <c r="R826" s="35" t="str">
        <f t="shared" si="53"/>
        <v>13-19</v>
      </c>
      <c r="S826" s="35" t="str">
        <f t="shared" si="53"/>
        <v>20-26</v>
      </c>
      <c r="T826" s="35" t="str">
        <f t="shared" si="53"/>
        <v>27-31</v>
      </c>
      <c r="U826" s="35" t="str">
        <f t="shared" si="53"/>
        <v>1-9</v>
      </c>
      <c r="V826" s="35" t="str">
        <f t="shared" si="53"/>
        <v>10-16</v>
      </c>
      <c r="W826" s="35" t="str">
        <f t="shared" si="53"/>
        <v>17-23</v>
      </c>
      <c r="X826" s="35" t="str">
        <f t="shared" si="53"/>
        <v>24-30</v>
      </c>
      <c r="Y826" s="35" t="str">
        <f t="shared" si="53"/>
        <v>1-7</v>
      </c>
      <c r="Z826" s="35" t="str">
        <f t="shared" si="53"/>
        <v>8-14</v>
      </c>
      <c r="AA826" s="35" t="str">
        <f t="shared" si="53"/>
        <v>15-21</v>
      </c>
      <c r="AB826" s="35" t="str">
        <f t="shared" si="53"/>
        <v>22-28</v>
      </c>
      <c r="AC826" s="35" t="str">
        <f t="shared" si="53"/>
        <v>29-31</v>
      </c>
    </row>
    <row r="827" spans="1:29" ht="18" x14ac:dyDescent="0.2">
      <c r="A827" s="34"/>
      <c r="B827" s="26" t="s">
        <v>4</v>
      </c>
      <c r="C827" s="22" t="s">
        <v>12</v>
      </c>
      <c r="D827" s="22" t="s">
        <v>12</v>
      </c>
      <c r="E827" s="22" t="s">
        <v>12</v>
      </c>
      <c r="F827" s="22" t="s">
        <v>12</v>
      </c>
      <c r="G827" s="22" t="s">
        <v>12</v>
      </c>
      <c r="H827" s="22" t="s">
        <v>12</v>
      </c>
      <c r="I827" s="22" t="s">
        <v>12</v>
      </c>
      <c r="J827" s="22" t="s">
        <v>12</v>
      </c>
      <c r="K827" s="22" t="s">
        <v>12</v>
      </c>
      <c r="L827" s="22" t="s">
        <v>12</v>
      </c>
      <c r="M827" s="22" t="s">
        <v>12</v>
      </c>
      <c r="N827" s="22" t="s">
        <v>12</v>
      </c>
      <c r="O827" s="22" t="s">
        <v>12</v>
      </c>
      <c r="P827" s="22" t="s">
        <v>12</v>
      </c>
      <c r="Q827" s="22" t="s">
        <v>12</v>
      </c>
      <c r="R827" s="22" t="s">
        <v>12</v>
      </c>
      <c r="S827" s="22" t="s">
        <v>12</v>
      </c>
      <c r="T827" s="22" t="s">
        <v>12</v>
      </c>
      <c r="U827" s="22" t="s">
        <v>12</v>
      </c>
      <c r="V827" s="22" t="s">
        <v>12</v>
      </c>
      <c r="W827" s="22" t="s">
        <v>12</v>
      </c>
      <c r="X827" s="22" t="s">
        <v>12</v>
      </c>
      <c r="Y827" s="22" t="s">
        <v>12</v>
      </c>
      <c r="Z827" s="22" t="s">
        <v>12</v>
      </c>
      <c r="AA827" s="22" t="s">
        <v>12</v>
      </c>
      <c r="AB827" s="22" t="s">
        <v>12</v>
      </c>
      <c r="AC827" s="22" t="s">
        <v>12</v>
      </c>
    </row>
    <row r="828" spans="1:29" ht="18.75" customHeight="1" x14ac:dyDescent="0.2">
      <c r="A828" s="70" t="s">
        <v>141</v>
      </c>
      <c r="B828" s="27" t="s">
        <v>5</v>
      </c>
      <c r="C828" s="28"/>
      <c r="D828" s="28"/>
      <c r="E828" s="28"/>
      <c r="F828" s="28"/>
      <c r="G828" s="29"/>
      <c r="H828" s="28"/>
      <c r="I828" s="28"/>
      <c r="J828" s="28"/>
      <c r="K828" s="29"/>
      <c r="L828" s="28"/>
      <c r="M828" s="28"/>
      <c r="N828" s="28"/>
      <c r="O828" s="29"/>
      <c r="P828" s="28"/>
      <c r="Q828" s="28"/>
      <c r="R828" s="28"/>
      <c r="S828" s="28"/>
      <c r="T828" s="29"/>
      <c r="U828" s="28"/>
      <c r="V828" s="28"/>
      <c r="W828" s="28"/>
      <c r="X828" s="29"/>
      <c r="Y828" s="28"/>
      <c r="Z828" s="28"/>
      <c r="AA828" s="28"/>
      <c r="AB828" s="22"/>
      <c r="AC828" s="29"/>
    </row>
    <row r="829" spans="1:29" ht="18" x14ac:dyDescent="0.2">
      <c r="A829" s="70"/>
      <c r="B829" s="27" t="s">
        <v>6</v>
      </c>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row>
    <row r="830" spans="1:29" ht="18" x14ac:dyDescent="0.2">
      <c r="A830" s="70"/>
      <c r="B830" s="27" t="s">
        <v>3</v>
      </c>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row>
    <row r="831" spans="1:29" ht="18.75" customHeight="1" x14ac:dyDescent="0.2">
      <c r="A831" s="70"/>
      <c r="B831" s="27" t="s">
        <v>5</v>
      </c>
      <c r="C831" s="29"/>
      <c r="D831" s="28"/>
      <c r="E831" s="28"/>
      <c r="F831" s="35"/>
      <c r="G831" s="28"/>
      <c r="H831" s="28"/>
      <c r="I831" s="28"/>
      <c r="J831" s="28"/>
      <c r="K831" s="28"/>
      <c r="L831" s="28"/>
      <c r="M831" s="28"/>
      <c r="N831" s="28"/>
      <c r="O831" s="28"/>
      <c r="P831" s="28"/>
      <c r="Q831" s="28"/>
      <c r="R831" s="28"/>
      <c r="S831" s="28"/>
      <c r="T831" s="28"/>
      <c r="U831" s="28"/>
      <c r="V831" s="28"/>
      <c r="W831" s="28"/>
      <c r="X831" s="28"/>
      <c r="Y831" s="28"/>
      <c r="Z831" s="28"/>
      <c r="AA831" s="28"/>
      <c r="AB831" s="22"/>
      <c r="AC831" s="28"/>
    </row>
    <row r="832" spans="1:29" ht="18" x14ac:dyDescent="0.2">
      <c r="A832" s="70"/>
      <c r="B832" s="27" t="s">
        <v>6</v>
      </c>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row>
    <row r="833" spans="1:29" ht="18" x14ac:dyDescent="0.2">
      <c r="A833" s="70"/>
      <c r="B833" s="27" t="s">
        <v>3</v>
      </c>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row>
    <row r="834" spans="1:29" ht="18.75" customHeight="1" x14ac:dyDescent="0.2">
      <c r="A834" s="70"/>
      <c r="B834" s="27" t="s">
        <v>5</v>
      </c>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2"/>
      <c r="AC834" s="28"/>
    </row>
    <row r="835" spans="1:29" ht="18" x14ac:dyDescent="0.2">
      <c r="A835" s="70"/>
      <c r="B835" s="27" t="s">
        <v>6</v>
      </c>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row>
    <row r="836" spans="1:29" ht="18" x14ac:dyDescent="0.2">
      <c r="A836" s="70"/>
      <c r="B836" s="27" t="s">
        <v>3</v>
      </c>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row>
    <row r="837" spans="1:29" ht="18" x14ac:dyDescent="0.4">
      <c r="A837" s="4" t="s">
        <v>219</v>
      </c>
      <c r="B837" s="4"/>
      <c r="C837" s="4"/>
      <c r="D837" s="4"/>
      <c r="E837" s="4"/>
      <c r="F837" s="4"/>
      <c r="G837" s="4"/>
      <c r="H837" s="4"/>
      <c r="I837" s="4"/>
      <c r="J837" s="4"/>
      <c r="K837" s="4"/>
      <c r="L837" s="4"/>
      <c r="M837" s="4"/>
      <c r="N837" s="4"/>
      <c r="O837" s="4"/>
      <c r="P837" s="4"/>
      <c r="Q837" s="4"/>
      <c r="R837" s="4"/>
      <c r="S837" s="4"/>
      <c r="T837" s="4"/>
      <c r="U837" s="4"/>
      <c r="V837" s="4"/>
      <c r="W837" s="71" t="s">
        <v>173</v>
      </c>
      <c r="X837" s="71"/>
      <c r="Y837" s="71"/>
      <c r="Z837" s="71"/>
      <c r="AA837" s="71"/>
      <c r="AB837" s="71"/>
      <c r="AC837" s="71"/>
    </row>
    <row r="838" spans="1:29" ht="18" x14ac:dyDescent="0.4">
      <c r="A838" s="18"/>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spans="1:29" ht="18" x14ac:dyDescent="0.4">
      <c r="A839" s="39"/>
      <c r="B839" s="9"/>
      <c r="C839" s="9"/>
      <c r="D839" s="9"/>
      <c r="E839" s="9"/>
      <c r="F839" s="9"/>
      <c r="G839" s="9"/>
      <c r="H839" s="9"/>
      <c r="I839" s="9"/>
      <c r="J839" s="9"/>
      <c r="K839" s="9"/>
      <c r="L839" s="9"/>
      <c r="M839" s="9"/>
      <c r="N839" s="9"/>
      <c r="O839" s="9"/>
      <c r="P839" s="72" t="s">
        <v>28</v>
      </c>
      <c r="Q839" s="72"/>
      <c r="R839" s="73" t="str">
        <f>R809</f>
        <v>พีรวัส</v>
      </c>
      <c r="S839" s="73"/>
      <c r="T839" s="73"/>
      <c r="U839" s="72" t="s">
        <v>30</v>
      </c>
      <c r="V839" s="72"/>
      <c r="W839" s="73" t="str">
        <f>W809</f>
        <v>วรพงศ์</v>
      </c>
      <c r="X839" s="73"/>
      <c r="Y839" s="73"/>
      <c r="Z839" s="8" t="s">
        <v>29</v>
      </c>
      <c r="AA839" s="74">
        <f>AA809</f>
        <v>46021</v>
      </c>
      <c r="AB839" s="74"/>
      <c r="AC839" s="74"/>
    </row>
    <row r="840" spans="1:29" ht="18" customHeight="1" x14ac:dyDescent="0.2"/>
    <row r="841" spans="1:29" ht="23.25" x14ac:dyDescent="0.5">
      <c r="A841" s="80" t="s">
        <v>26</v>
      </c>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c r="AA841" s="80"/>
      <c r="AB841" s="80"/>
      <c r="AC841" s="80"/>
    </row>
    <row r="842" spans="1:29" ht="21" x14ac:dyDescent="0.45">
      <c r="A842" s="6" t="s">
        <v>22</v>
      </c>
      <c r="B842" s="81" t="s">
        <v>138</v>
      </c>
      <c r="C842" s="81"/>
      <c r="D842" s="81"/>
      <c r="E842" s="81"/>
      <c r="F842" s="81"/>
      <c r="G842" s="81"/>
      <c r="H842" s="6" t="s">
        <v>24</v>
      </c>
      <c r="I842" s="84" t="s">
        <v>12</v>
      </c>
      <c r="J842" s="84"/>
      <c r="K842" s="84"/>
      <c r="L842" s="84"/>
      <c r="M842" s="83" t="s">
        <v>25</v>
      </c>
      <c r="N842" s="83"/>
      <c r="O842" s="81" t="s">
        <v>139</v>
      </c>
      <c r="P842" s="81"/>
      <c r="Q842" s="81"/>
      <c r="R842" s="81"/>
      <c r="S842" s="81"/>
      <c r="T842" s="6" t="s">
        <v>20</v>
      </c>
      <c r="U842" s="81">
        <f>$U$2</f>
        <v>2569</v>
      </c>
      <c r="V842" s="81"/>
      <c r="W842" s="83" t="s">
        <v>35</v>
      </c>
      <c r="X842" s="83"/>
      <c r="Y842" s="83"/>
      <c r="Z842" s="4" t="s">
        <v>211</v>
      </c>
      <c r="AA842" s="1"/>
      <c r="AB842" s="1"/>
      <c r="AC842" s="1"/>
    </row>
    <row r="843" spans="1:29" ht="18" x14ac:dyDescent="0.2">
      <c r="A843" s="20" t="s">
        <v>0</v>
      </c>
      <c r="B843" s="21" t="s">
        <v>2</v>
      </c>
      <c r="C843" s="75" t="s">
        <v>32</v>
      </c>
      <c r="D843" s="75"/>
      <c r="E843" s="75"/>
      <c r="F843" s="75"/>
      <c r="G843" s="75"/>
      <c r="H843" s="75" t="s">
        <v>7</v>
      </c>
      <c r="I843" s="75"/>
      <c r="J843" s="75"/>
      <c r="K843" s="75"/>
      <c r="L843" s="77" t="s">
        <v>8</v>
      </c>
      <c r="M843" s="78"/>
      <c r="N843" s="78"/>
      <c r="O843" s="79"/>
      <c r="P843" s="77" t="s">
        <v>9</v>
      </c>
      <c r="Q843" s="78"/>
      <c r="R843" s="78"/>
      <c r="S843" s="78"/>
      <c r="T843" s="79"/>
      <c r="U843" s="75" t="s">
        <v>10</v>
      </c>
      <c r="V843" s="75"/>
      <c r="W843" s="75"/>
      <c r="X843" s="75"/>
      <c r="Y843" s="75"/>
      <c r="Z843" s="75" t="s">
        <v>11</v>
      </c>
      <c r="AA843" s="75"/>
      <c r="AB843" s="75"/>
      <c r="AC843" s="75"/>
    </row>
    <row r="844" spans="1:29" ht="18" x14ac:dyDescent="0.2">
      <c r="A844" s="23" t="s">
        <v>1</v>
      </c>
      <c r="B844" s="24" t="s">
        <v>3</v>
      </c>
      <c r="C844" s="28" t="str">
        <f>C814</f>
        <v>1-5</v>
      </c>
      <c r="D844" s="28" t="str">
        <f t="shared" ref="D844:AC844" si="54">D814</f>
        <v>6-12</v>
      </c>
      <c r="E844" s="28" t="str">
        <f t="shared" si="54"/>
        <v>13-19</v>
      </c>
      <c r="F844" s="28" t="str">
        <f t="shared" si="54"/>
        <v>20-26</v>
      </c>
      <c r="G844" s="28" t="str">
        <f t="shared" si="54"/>
        <v>27-31</v>
      </c>
      <c r="H844" s="28" t="str">
        <f t="shared" si="54"/>
        <v>1-9</v>
      </c>
      <c r="I844" s="28" t="str">
        <f t="shared" si="54"/>
        <v>10-16</v>
      </c>
      <c r="J844" s="28" t="str">
        <f t="shared" si="54"/>
        <v>17-23</v>
      </c>
      <c r="K844" s="28" t="str">
        <f t="shared" si="54"/>
        <v>24-28</v>
      </c>
      <c r="L844" s="28" t="str">
        <f t="shared" si="54"/>
        <v>1-9</v>
      </c>
      <c r="M844" s="28" t="str">
        <f t="shared" si="54"/>
        <v>10-16</v>
      </c>
      <c r="N844" s="28" t="str">
        <f t="shared" si="54"/>
        <v>17-23</v>
      </c>
      <c r="O844" s="28" t="str">
        <f t="shared" si="54"/>
        <v>24-31</v>
      </c>
      <c r="P844" s="28" t="str">
        <f t="shared" si="54"/>
        <v>1-6</v>
      </c>
      <c r="Q844" s="28" t="str">
        <f t="shared" si="54"/>
        <v>7-13</v>
      </c>
      <c r="R844" s="28" t="str">
        <f t="shared" si="54"/>
        <v>14-20</v>
      </c>
      <c r="S844" s="28" t="str">
        <f t="shared" si="54"/>
        <v>21-27</v>
      </c>
      <c r="T844" s="28" t="str">
        <f t="shared" si="54"/>
        <v>28-30</v>
      </c>
      <c r="U844" s="28" t="str">
        <f t="shared" si="54"/>
        <v>1-4</v>
      </c>
      <c r="V844" s="28" t="str">
        <f t="shared" si="54"/>
        <v>5-11</v>
      </c>
      <c r="W844" s="28" t="str">
        <f t="shared" si="54"/>
        <v>12-18</v>
      </c>
      <c r="X844" s="28" t="str">
        <f t="shared" si="54"/>
        <v>19-25</v>
      </c>
      <c r="Y844" s="28" t="str">
        <f t="shared" si="54"/>
        <v>26-31</v>
      </c>
      <c r="Z844" s="28" t="str">
        <f t="shared" si="54"/>
        <v>1-8</v>
      </c>
      <c r="AA844" s="28" t="str">
        <f t="shared" si="54"/>
        <v>9-15</v>
      </c>
      <c r="AB844" s="28" t="str">
        <f t="shared" si="54"/>
        <v>16-22</v>
      </c>
      <c r="AC844" s="28" t="str">
        <f t="shared" si="54"/>
        <v>23-30</v>
      </c>
    </row>
    <row r="845" spans="1:29" ht="18" x14ac:dyDescent="0.2">
      <c r="A845" s="25"/>
      <c r="B845" s="26" t="s">
        <v>4</v>
      </c>
      <c r="C845" s="22" t="s">
        <v>12</v>
      </c>
      <c r="D845" s="22" t="s">
        <v>12</v>
      </c>
      <c r="E845" s="22" t="s">
        <v>12</v>
      </c>
      <c r="F845" s="22" t="s">
        <v>12</v>
      </c>
      <c r="G845" s="22" t="s">
        <v>12</v>
      </c>
      <c r="H845" s="22" t="s">
        <v>12</v>
      </c>
      <c r="I845" s="22" t="s">
        <v>12</v>
      </c>
      <c r="J845" s="22" t="s">
        <v>12</v>
      </c>
      <c r="K845" s="22" t="s">
        <v>12</v>
      </c>
      <c r="L845" s="22" t="s">
        <v>12</v>
      </c>
      <c r="M845" s="22" t="s">
        <v>12</v>
      </c>
      <c r="N845" s="22" t="s">
        <v>12</v>
      </c>
      <c r="O845" s="22" t="s">
        <v>12</v>
      </c>
      <c r="P845" s="22" t="s">
        <v>12</v>
      </c>
      <c r="Q845" s="22" t="s">
        <v>12</v>
      </c>
      <c r="R845" s="22" t="s">
        <v>12</v>
      </c>
      <c r="S845" s="22" t="s">
        <v>12</v>
      </c>
      <c r="T845" s="22" t="s">
        <v>12</v>
      </c>
      <c r="U845" s="22" t="s">
        <v>12</v>
      </c>
      <c r="V845" s="22" t="s">
        <v>12</v>
      </c>
      <c r="W845" s="22" t="s">
        <v>12</v>
      </c>
      <c r="X845" s="22" t="s">
        <v>12</v>
      </c>
      <c r="Y845" s="22" t="s">
        <v>12</v>
      </c>
      <c r="Z845" s="22" t="s">
        <v>12</v>
      </c>
      <c r="AA845" s="22" t="s">
        <v>12</v>
      </c>
      <c r="AB845" s="22" t="s">
        <v>12</v>
      </c>
      <c r="AC845" s="22" t="s">
        <v>12</v>
      </c>
    </row>
    <row r="846" spans="1:29" ht="18.75" customHeight="1" x14ac:dyDescent="0.2">
      <c r="A846" s="70" t="s">
        <v>234</v>
      </c>
      <c r="B846" s="27" t="s">
        <v>5</v>
      </c>
      <c r="C846" s="28"/>
      <c r="D846" s="28"/>
      <c r="E846" s="28"/>
      <c r="F846" s="28"/>
      <c r="G846" s="29"/>
      <c r="H846" s="28"/>
      <c r="I846" s="28"/>
      <c r="J846" s="28"/>
      <c r="K846" s="29"/>
      <c r="L846" s="28"/>
      <c r="M846" s="28"/>
      <c r="N846" s="28"/>
      <c r="O846" s="28"/>
      <c r="P846" s="29"/>
      <c r="Q846" s="28"/>
      <c r="R846" s="28"/>
      <c r="S846" s="28"/>
      <c r="T846" s="29"/>
      <c r="U846" s="28"/>
      <c r="V846" s="28"/>
      <c r="W846" s="28"/>
      <c r="X846" s="28"/>
      <c r="Y846" s="29"/>
      <c r="Z846" s="28"/>
      <c r="AA846" s="28"/>
      <c r="AB846" s="22"/>
      <c r="AC846" s="29"/>
    </row>
    <row r="847" spans="1:29" ht="18" x14ac:dyDescent="0.2">
      <c r="A847" s="70"/>
      <c r="B847" s="27" t="s">
        <v>6</v>
      </c>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row>
    <row r="848" spans="1:29" ht="18" x14ac:dyDescent="0.2">
      <c r="A848" s="70"/>
      <c r="B848" s="27" t="s">
        <v>3</v>
      </c>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row>
    <row r="849" spans="1:29" ht="18.75" customHeight="1" x14ac:dyDescent="0.2">
      <c r="A849" s="70"/>
      <c r="B849" s="27" t="s">
        <v>5</v>
      </c>
      <c r="C849" s="35"/>
      <c r="D849" s="28"/>
      <c r="E849" s="35"/>
      <c r="F849" s="35"/>
      <c r="G849" s="29"/>
      <c r="H849" s="28"/>
      <c r="I849" s="28"/>
      <c r="J849" s="28"/>
      <c r="K849" s="29"/>
      <c r="L849" s="28"/>
      <c r="M849" s="28"/>
      <c r="N849" s="28"/>
      <c r="O849" s="28"/>
      <c r="P849" s="29"/>
      <c r="Q849" s="28"/>
      <c r="R849" s="28"/>
      <c r="S849" s="28"/>
      <c r="T849" s="29"/>
      <c r="U849" s="28"/>
      <c r="V849" s="28"/>
      <c r="W849" s="28"/>
      <c r="X849" s="28"/>
      <c r="Y849" s="29"/>
      <c r="Z849" s="28"/>
      <c r="AA849" s="28"/>
      <c r="AB849" s="22"/>
      <c r="AC849" s="29"/>
    </row>
    <row r="850" spans="1:29" ht="18" x14ac:dyDescent="0.2">
      <c r="A850" s="70"/>
      <c r="B850" s="27" t="s">
        <v>6</v>
      </c>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row>
    <row r="851" spans="1:29" ht="18" x14ac:dyDescent="0.2">
      <c r="A851" s="70"/>
      <c r="B851" s="27" t="s">
        <v>3</v>
      </c>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row>
    <row r="852" spans="1:29" ht="18.75" customHeight="1" x14ac:dyDescent="0.2">
      <c r="A852" s="70"/>
      <c r="B852" s="27" t="s">
        <v>5</v>
      </c>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2"/>
      <c r="AC852" s="28"/>
    </row>
    <row r="853" spans="1:29" ht="18" x14ac:dyDescent="0.2">
      <c r="A853" s="70"/>
      <c r="B853" s="27" t="s">
        <v>6</v>
      </c>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row>
    <row r="854" spans="1:29" ht="18" x14ac:dyDescent="0.2">
      <c r="A854" s="70"/>
      <c r="B854" s="27" t="s">
        <v>3</v>
      </c>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row>
    <row r="855" spans="1:29" ht="18" x14ac:dyDescent="0.2">
      <c r="A855" s="20" t="s">
        <v>0</v>
      </c>
      <c r="B855" s="21" t="s">
        <v>2</v>
      </c>
      <c r="C855" s="76" t="s">
        <v>13</v>
      </c>
      <c r="D855" s="76"/>
      <c r="E855" s="76"/>
      <c r="F855" s="76"/>
      <c r="G855" s="76"/>
      <c r="H855" s="76" t="s">
        <v>14</v>
      </c>
      <c r="I855" s="76"/>
      <c r="J855" s="76"/>
      <c r="K855" s="76"/>
      <c r="L855" s="76" t="s">
        <v>15</v>
      </c>
      <c r="M855" s="76"/>
      <c r="N855" s="76"/>
      <c r="O855" s="76"/>
      <c r="P855" s="76" t="s">
        <v>16</v>
      </c>
      <c r="Q855" s="76"/>
      <c r="R855" s="76"/>
      <c r="S855" s="76"/>
      <c r="T855" s="76"/>
      <c r="U855" s="76" t="s">
        <v>17</v>
      </c>
      <c r="V855" s="76"/>
      <c r="W855" s="76"/>
      <c r="X855" s="76"/>
      <c r="Y855" s="76" t="s">
        <v>18</v>
      </c>
      <c r="Z855" s="76"/>
      <c r="AA855" s="76"/>
      <c r="AB855" s="76"/>
      <c r="AC855" s="76"/>
    </row>
    <row r="856" spans="1:29" ht="18" x14ac:dyDescent="0.2">
      <c r="A856" s="20" t="s">
        <v>1</v>
      </c>
      <c r="B856" s="24" t="s">
        <v>3</v>
      </c>
      <c r="C856" s="35" t="str">
        <f t="shared" ref="C856:AC856" si="55">C826</f>
        <v>1-6</v>
      </c>
      <c r="D856" s="35" t="str">
        <f t="shared" si="55"/>
        <v>7-13</v>
      </c>
      <c r="E856" s="35" t="str">
        <f t="shared" si="55"/>
        <v>14-20</v>
      </c>
      <c r="F856" s="35" t="str">
        <f t="shared" si="55"/>
        <v>21-27</v>
      </c>
      <c r="G856" s="35" t="str">
        <f t="shared" si="55"/>
        <v>28-31</v>
      </c>
      <c r="H856" s="35" t="str">
        <f t="shared" si="55"/>
        <v>1-10</v>
      </c>
      <c r="I856" s="35" t="str">
        <f t="shared" si="55"/>
        <v>11-17</v>
      </c>
      <c r="J856" s="35" t="str">
        <f t="shared" si="55"/>
        <v>18-24</v>
      </c>
      <c r="K856" s="35" t="str">
        <f t="shared" si="55"/>
        <v>25-31</v>
      </c>
      <c r="L856" s="35" t="str">
        <f t="shared" si="55"/>
        <v>1-7</v>
      </c>
      <c r="M856" s="35" t="str">
        <f t="shared" si="55"/>
        <v>8-14</v>
      </c>
      <c r="N856" s="35" t="str">
        <f t="shared" si="55"/>
        <v>15-21</v>
      </c>
      <c r="O856" s="35" t="str">
        <f t="shared" si="55"/>
        <v>22-30</v>
      </c>
      <c r="P856" s="35" t="str">
        <f t="shared" si="55"/>
        <v>1-5</v>
      </c>
      <c r="Q856" s="35" t="str">
        <f t="shared" si="55"/>
        <v>6-12</v>
      </c>
      <c r="R856" s="35" t="str">
        <f t="shared" si="55"/>
        <v>13-19</v>
      </c>
      <c r="S856" s="35" t="str">
        <f t="shared" si="55"/>
        <v>20-26</v>
      </c>
      <c r="T856" s="35" t="str">
        <f t="shared" si="55"/>
        <v>27-31</v>
      </c>
      <c r="U856" s="35" t="str">
        <f t="shared" si="55"/>
        <v>1-9</v>
      </c>
      <c r="V856" s="35" t="str">
        <f t="shared" si="55"/>
        <v>10-16</v>
      </c>
      <c r="W856" s="35" t="str">
        <f t="shared" si="55"/>
        <v>17-23</v>
      </c>
      <c r="X856" s="35" t="str">
        <f t="shared" si="55"/>
        <v>24-30</v>
      </c>
      <c r="Y856" s="35" t="str">
        <f t="shared" si="55"/>
        <v>1-7</v>
      </c>
      <c r="Z856" s="35" t="str">
        <f t="shared" si="55"/>
        <v>8-14</v>
      </c>
      <c r="AA856" s="35" t="str">
        <f t="shared" si="55"/>
        <v>15-21</v>
      </c>
      <c r="AB856" s="35" t="str">
        <f t="shared" si="55"/>
        <v>22-28</v>
      </c>
      <c r="AC856" s="35" t="str">
        <f t="shared" si="55"/>
        <v>29-31</v>
      </c>
    </row>
    <row r="857" spans="1:29" ht="18" x14ac:dyDescent="0.2">
      <c r="A857" s="34"/>
      <c r="B857" s="26" t="s">
        <v>4</v>
      </c>
      <c r="C857" s="22" t="s">
        <v>12</v>
      </c>
      <c r="D857" s="22" t="s">
        <v>12</v>
      </c>
      <c r="E857" s="22" t="s">
        <v>12</v>
      </c>
      <c r="F857" s="22" t="s">
        <v>12</v>
      </c>
      <c r="G857" s="22" t="s">
        <v>12</v>
      </c>
      <c r="H857" s="22" t="s">
        <v>12</v>
      </c>
      <c r="I857" s="22" t="s">
        <v>12</v>
      </c>
      <c r="J857" s="22" t="s">
        <v>12</v>
      </c>
      <c r="K857" s="22" t="s">
        <v>12</v>
      </c>
      <c r="L857" s="22" t="s">
        <v>12</v>
      </c>
      <c r="M857" s="22" t="s">
        <v>12</v>
      </c>
      <c r="N857" s="22" t="s">
        <v>12</v>
      </c>
      <c r="O857" s="22" t="s">
        <v>12</v>
      </c>
      <c r="P857" s="22" t="s">
        <v>12</v>
      </c>
      <c r="Q857" s="22" t="s">
        <v>12</v>
      </c>
      <c r="R857" s="22" t="s">
        <v>12</v>
      </c>
      <c r="S857" s="22" t="s">
        <v>12</v>
      </c>
      <c r="T857" s="22" t="s">
        <v>12</v>
      </c>
      <c r="U857" s="22" t="s">
        <v>12</v>
      </c>
      <c r="V857" s="22" t="s">
        <v>12</v>
      </c>
      <c r="W857" s="22" t="s">
        <v>12</v>
      </c>
      <c r="X857" s="22" t="s">
        <v>12</v>
      </c>
      <c r="Y857" s="22" t="s">
        <v>12</v>
      </c>
      <c r="Z857" s="22" t="s">
        <v>12</v>
      </c>
      <c r="AA857" s="22" t="s">
        <v>12</v>
      </c>
      <c r="AB857" s="22" t="s">
        <v>12</v>
      </c>
      <c r="AC857" s="22" t="s">
        <v>12</v>
      </c>
    </row>
    <row r="858" spans="1:29" ht="18.75" customHeight="1" x14ac:dyDescent="0.2">
      <c r="A858" s="70" t="s">
        <v>234</v>
      </c>
      <c r="B858" s="27" t="s">
        <v>5</v>
      </c>
      <c r="C858" s="28"/>
      <c r="D858" s="28"/>
      <c r="E858" s="28"/>
      <c r="F858" s="28"/>
      <c r="G858" s="29"/>
      <c r="H858" s="28"/>
      <c r="I858" s="28"/>
      <c r="J858" s="28"/>
      <c r="K858" s="29"/>
      <c r="L858" s="28"/>
      <c r="M858" s="28"/>
      <c r="N858" s="28"/>
      <c r="O858" s="29"/>
      <c r="P858" s="28"/>
      <c r="Q858" s="28"/>
      <c r="R858" s="28"/>
      <c r="S858" s="28"/>
      <c r="T858" s="29"/>
      <c r="U858" s="28"/>
      <c r="V858" s="28"/>
      <c r="W858" s="28"/>
      <c r="X858" s="29"/>
      <c r="Y858" s="28"/>
      <c r="Z858" s="28"/>
      <c r="AA858" s="28"/>
      <c r="AB858" s="22"/>
      <c r="AC858" s="29"/>
    </row>
    <row r="859" spans="1:29" ht="18" x14ac:dyDescent="0.2">
      <c r="A859" s="70"/>
      <c r="B859" s="27" t="s">
        <v>6</v>
      </c>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row>
    <row r="860" spans="1:29" ht="18" x14ac:dyDescent="0.2">
      <c r="A860" s="70"/>
      <c r="B860" s="27" t="s">
        <v>3</v>
      </c>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row>
    <row r="861" spans="1:29" ht="18.75" customHeight="1" x14ac:dyDescent="0.2">
      <c r="A861" s="70"/>
      <c r="B861" s="27" t="s">
        <v>5</v>
      </c>
      <c r="C861" s="29"/>
      <c r="D861" s="28"/>
      <c r="E861" s="28"/>
      <c r="F861" s="35"/>
      <c r="G861" s="28"/>
      <c r="H861" s="28"/>
      <c r="I861" s="28"/>
      <c r="J861" s="28"/>
      <c r="K861" s="28"/>
      <c r="L861" s="28"/>
      <c r="M861" s="28"/>
      <c r="N861" s="28"/>
      <c r="O861" s="28"/>
      <c r="P861" s="28"/>
      <c r="Q861" s="28"/>
      <c r="R861" s="28"/>
      <c r="S861" s="28"/>
      <c r="T861" s="28"/>
      <c r="U861" s="28"/>
      <c r="V861" s="28"/>
      <c r="W861" s="28"/>
      <c r="X861" s="28"/>
      <c r="Y861" s="28"/>
      <c r="Z861" s="28"/>
      <c r="AA861" s="28"/>
      <c r="AB861" s="22"/>
      <c r="AC861" s="28"/>
    </row>
    <row r="862" spans="1:29" ht="18" x14ac:dyDescent="0.2">
      <c r="A862" s="70"/>
      <c r="B862" s="27" t="s">
        <v>6</v>
      </c>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row>
    <row r="863" spans="1:29" ht="18" x14ac:dyDescent="0.2">
      <c r="A863" s="70"/>
      <c r="B863" s="27" t="s">
        <v>3</v>
      </c>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row>
    <row r="864" spans="1:29" ht="18.75" customHeight="1" x14ac:dyDescent="0.2">
      <c r="A864" s="70"/>
      <c r="B864" s="27" t="s">
        <v>5</v>
      </c>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2"/>
      <c r="AC864" s="28"/>
    </row>
    <row r="865" spans="1:29" ht="18" x14ac:dyDescent="0.2">
      <c r="A865" s="70"/>
      <c r="B865" s="27" t="s">
        <v>6</v>
      </c>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row>
    <row r="866" spans="1:29" ht="18" x14ac:dyDescent="0.2">
      <c r="A866" s="70"/>
      <c r="B866" s="27" t="s">
        <v>3</v>
      </c>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row>
    <row r="867" spans="1:29" ht="18" x14ac:dyDescent="0.4">
      <c r="A867" s="4" t="s">
        <v>219</v>
      </c>
      <c r="B867" s="4"/>
      <c r="C867" s="4"/>
      <c r="D867" s="4"/>
      <c r="E867" s="4"/>
      <c r="F867" s="4"/>
      <c r="G867" s="4"/>
      <c r="H867" s="4"/>
      <c r="I867" s="4"/>
      <c r="J867" s="4"/>
      <c r="K867" s="4"/>
      <c r="L867" s="4"/>
      <c r="M867" s="4"/>
      <c r="N867" s="4"/>
      <c r="O867" s="4"/>
      <c r="P867" s="4"/>
      <c r="Q867" s="4"/>
      <c r="R867" s="4"/>
      <c r="S867" s="4"/>
      <c r="T867" s="4"/>
      <c r="U867" s="4"/>
      <c r="V867" s="4"/>
      <c r="W867" s="71" t="s">
        <v>173</v>
      </c>
      <c r="X867" s="71"/>
      <c r="Y867" s="71"/>
      <c r="Z867" s="71"/>
      <c r="AA867" s="71"/>
      <c r="AB867" s="71"/>
      <c r="AC867" s="71"/>
    </row>
    <row r="868" spans="1:29" ht="18" x14ac:dyDescent="0.4">
      <c r="A868" s="18"/>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spans="1:29" ht="18" x14ac:dyDescent="0.4">
      <c r="A869" s="9"/>
      <c r="B869" s="9"/>
      <c r="C869" s="9"/>
      <c r="D869" s="9"/>
      <c r="E869" s="9"/>
      <c r="F869" s="9"/>
      <c r="G869" s="9"/>
      <c r="H869" s="9"/>
      <c r="I869" s="9"/>
      <c r="J869" s="9"/>
      <c r="K869" s="9"/>
      <c r="L869" s="9"/>
      <c r="M869" s="9"/>
      <c r="N869" s="9"/>
      <c r="O869" s="9"/>
      <c r="P869" s="72" t="s">
        <v>28</v>
      </c>
      <c r="Q869" s="72"/>
      <c r="R869" s="73" t="str">
        <f>R839</f>
        <v>พีรวัส</v>
      </c>
      <c r="S869" s="73"/>
      <c r="T869" s="73"/>
      <c r="U869" s="72" t="s">
        <v>30</v>
      </c>
      <c r="V869" s="72"/>
      <c r="W869" s="73" t="str">
        <f>W839</f>
        <v>วรพงศ์</v>
      </c>
      <c r="X869" s="73"/>
      <c r="Y869" s="73"/>
      <c r="Z869" s="8" t="s">
        <v>29</v>
      </c>
      <c r="AA869" s="74">
        <f>AA839</f>
        <v>46021</v>
      </c>
      <c r="AB869" s="74"/>
      <c r="AC869" s="74"/>
    </row>
    <row r="870" spans="1:29" ht="18" customHeight="1" x14ac:dyDescent="0.2"/>
    <row r="871" spans="1:29" ht="23.25" x14ac:dyDescent="0.5">
      <c r="A871" s="80" t="s">
        <v>26</v>
      </c>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c r="AA871" s="80"/>
      <c r="AB871" s="80"/>
      <c r="AC871" s="80"/>
    </row>
    <row r="872" spans="1:29" ht="21" x14ac:dyDescent="0.45">
      <c r="A872" s="6" t="s">
        <v>22</v>
      </c>
      <c r="B872" s="81" t="s">
        <v>142</v>
      </c>
      <c r="C872" s="81"/>
      <c r="D872" s="81"/>
      <c r="E872" s="81"/>
      <c r="F872" s="81"/>
      <c r="G872" s="81"/>
      <c r="H872" s="6" t="s">
        <v>24</v>
      </c>
      <c r="I872" s="84" t="s">
        <v>12</v>
      </c>
      <c r="J872" s="84"/>
      <c r="K872" s="84"/>
      <c r="L872" s="84"/>
      <c r="M872" s="83" t="s">
        <v>25</v>
      </c>
      <c r="N872" s="83"/>
      <c r="O872" s="81" t="s">
        <v>56</v>
      </c>
      <c r="P872" s="81"/>
      <c r="Q872" s="81"/>
      <c r="R872" s="81"/>
      <c r="S872" s="81"/>
      <c r="T872" s="6" t="s">
        <v>20</v>
      </c>
      <c r="U872" s="81">
        <f>$U$2</f>
        <v>2569</v>
      </c>
      <c r="V872" s="81"/>
      <c r="W872" s="83" t="s">
        <v>35</v>
      </c>
      <c r="X872" s="83"/>
      <c r="Y872" s="83"/>
      <c r="Z872" s="4" t="s">
        <v>143</v>
      </c>
      <c r="AA872" s="1"/>
      <c r="AB872" s="1"/>
      <c r="AC872" s="1"/>
    </row>
    <row r="873" spans="1:29" ht="18" customHeight="1" x14ac:dyDescent="0.2">
      <c r="A873" s="20" t="s">
        <v>0</v>
      </c>
      <c r="B873" s="21" t="s">
        <v>2</v>
      </c>
      <c r="C873" s="75" t="s">
        <v>32</v>
      </c>
      <c r="D873" s="75"/>
      <c r="E873" s="75"/>
      <c r="F873" s="75"/>
      <c r="G873" s="75"/>
      <c r="H873" s="75" t="s">
        <v>7</v>
      </c>
      <c r="I873" s="75"/>
      <c r="J873" s="75"/>
      <c r="K873" s="75"/>
      <c r="L873" s="77" t="s">
        <v>8</v>
      </c>
      <c r="M873" s="78"/>
      <c r="N873" s="78"/>
      <c r="O873" s="79"/>
      <c r="P873" s="77" t="s">
        <v>9</v>
      </c>
      <c r="Q873" s="78"/>
      <c r="R873" s="78"/>
      <c r="S873" s="78"/>
      <c r="T873" s="79"/>
      <c r="U873" s="75" t="s">
        <v>10</v>
      </c>
      <c r="V873" s="75"/>
      <c r="W873" s="75"/>
      <c r="X873" s="75"/>
      <c r="Y873" s="75"/>
      <c r="Z873" s="75" t="s">
        <v>11</v>
      </c>
      <c r="AA873" s="75"/>
      <c r="AB873" s="75"/>
      <c r="AC873" s="75"/>
    </row>
    <row r="874" spans="1:29" ht="18" x14ac:dyDescent="0.2">
      <c r="A874" s="23" t="s">
        <v>1</v>
      </c>
      <c r="B874" s="24" t="s">
        <v>3</v>
      </c>
      <c r="C874" s="28" t="str">
        <f>C814</f>
        <v>1-5</v>
      </c>
      <c r="D874" s="28" t="str">
        <f t="shared" ref="D874:AC874" si="56">D814</f>
        <v>6-12</v>
      </c>
      <c r="E874" s="28" t="str">
        <f t="shared" si="56"/>
        <v>13-19</v>
      </c>
      <c r="F874" s="28" t="str">
        <f t="shared" si="56"/>
        <v>20-26</v>
      </c>
      <c r="G874" s="28" t="str">
        <f t="shared" si="56"/>
        <v>27-31</v>
      </c>
      <c r="H874" s="28" t="str">
        <f t="shared" si="56"/>
        <v>1-9</v>
      </c>
      <c r="I874" s="28" t="str">
        <f t="shared" si="56"/>
        <v>10-16</v>
      </c>
      <c r="J874" s="28" t="str">
        <f t="shared" si="56"/>
        <v>17-23</v>
      </c>
      <c r="K874" s="28" t="str">
        <f t="shared" si="56"/>
        <v>24-28</v>
      </c>
      <c r="L874" s="28" t="str">
        <f t="shared" si="56"/>
        <v>1-9</v>
      </c>
      <c r="M874" s="28" t="str">
        <f t="shared" si="56"/>
        <v>10-16</v>
      </c>
      <c r="N874" s="28" t="str">
        <f t="shared" si="56"/>
        <v>17-23</v>
      </c>
      <c r="O874" s="28" t="str">
        <f t="shared" si="56"/>
        <v>24-31</v>
      </c>
      <c r="P874" s="28" t="str">
        <f t="shared" si="56"/>
        <v>1-6</v>
      </c>
      <c r="Q874" s="28" t="str">
        <f t="shared" si="56"/>
        <v>7-13</v>
      </c>
      <c r="R874" s="28" t="str">
        <f t="shared" si="56"/>
        <v>14-20</v>
      </c>
      <c r="S874" s="28" t="str">
        <f t="shared" si="56"/>
        <v>21-27</v>
      </c>
      <c r="T874" s="28" t="str">
        <f t="shared" si="56"/>
        <v>28-30</v>
      </c>
      <c r="U874" s="28" t="str">
        <f t="shared" si="56"/>
        <v>1-4</v>
      </c>
      <c r="V874" s="28" t="str">
        <f t="shared" si="56"/>
        <v>5-11</v>
      </c>
      <c r="W874" s="28" t="str">
        <f t="shared" si="56"/>
        <v>12-18</v>
      </c>
      <c r="X874" s="28" t="str">
        <f t="shared" si="56"/>
        <v>19-25</v>
      </c>
      <c r="Y874" s="28" t="str">
        <f t="shared" si="56"/>
        <v>26-31</v>
      </c>
      <c r="Z874" s="28" t="str">
        <f t="shared" si="56"/>
        <v>1-8</v>
      </c>
      <c r="AA874" s="28" t="str">
        <f t="shared" si="56"/>
        <v>9-15</v>
      </c>
      <c r="AB874" s="28" t="str">
        <f t="shared" si="56"/>
        <v>16-22</v>
      </c>
      <c r="AC874" s="28" t="str">
        <f t="shared" si="56"/>
        <v>23-30</v>
      </c>
    </row>
    <row r="875" spans="1:29" ht="18" x14ac:dyDescent="0.2">
      <c r="A875" s="25"/>
      <c r="B875" s="26" t="s">
        <v>4</v>
      </c>
      <c r="C875" s="22" t="s">
        <v>12</v>
      </c>
      <c r="D875" s="22" t="s">
        <v>12</v>
      </c>
      <c r="E875" s="22" t="s">
        <v>12</v>
      </c>
      <c r="F875" s="22" t="s">
        <v>12</v>
      </c>
      <c r="G875" s="22" t="s">
        <v>12</v>
      </c>
      <c r="H875" s="22" t="s">
        <v>12</v>
      </c>
      <c r="I875" s="22" t="s">
        <v>12</v>
      </c>
      <c r="J875" s="22" t="s">
        <v>12</v>
      </c>
      <c r="K875" s="22" t="s">
        <v>12</v>
      </c>
      <c r="L875" s="22" t="s">
        <v>12</v>
      </c>
      <c r="M875" s="22" t="s">
        <v>12</v>
      </c>
      <c r="N875" s="22" t="s">
        <v>12</v>
      </c>
      <c r="O875" s="22" t="s">
        <v>12</v>
      </c>
      <c r="P875" s="22" t="s">
        <v>12</v>
      </c>
      <c r="Q875" s="22" t="s">
        <v>12</v>
      </c>
      <c r="R875" s="22" t="s">
        <v>12</v>
      </c>
      <c r="S875" s="22" t="s">
        <v>12</v>
      </c>
      <c r="T875" s="22" t="s">
        <v>12</v>
      </c>
      <c r="U875" s="22" t="s">
        <v>12</v>
      </c>
      <c r="V875" s="22" t="s">
        <v>12</v>
      </c>
      <c r="W875" s="22" t="s">
        <v>12</v>
      </c>
      <c r="X875" s="22" t="s">
        <v>12</v>
      </c>
      <c r="Y875" s="22" t="s">
        <v>12</v>
      </c>
      <c r="Z875" s="22" t="s">
        <v>12</v>
      </c>
      <c r="AA875" s="22" t="s">
        <v>12</v>
      </c>
      <c r="AB875" s="22" t="s">
        <v>12</v>
      </c>
      <c r="AC875" s="22" t="s">
        <v>12</v>
      </c>
    </row>
    <row r="876" spans="1:29" ht="18.75" customHeight="1" x14ac:dyDescent="0.2">
      <c r="A876" s="70" t="s">
        <v>144</v>
      </c>
      <c r="B876" s="27" t="s">
        <v>5</v>
      </c>
      <c r="C876" s="28"/>
      <c r="D876" s="28"/>
      <c r="E876" s="28"/>
      <c r="F876" s="28"/>
      <c r="G876" s="29"/>
      <c r="H876" s="28"/>
      <c r="I876" s="28"/>
      <c r="J876" s="28"/>
      <c r="K876" s="29"/>
      <c r="L876" s="28"/>
      <c r="M876" s="28"/>
      <c r="N876" s="28"/>
      <c r="O876" s="28"/>
      <c r="P876" s="29"/>
      <c r="Q876" s="28"/>
      <c r="R876" s="28"/>
      <c r="S876" s="28"/>
      <c r="T876" s="29"/>
      <c r="U876" s="28"/>
      <c r="V876" s="28"/>
      <c r="W876" s="28"/>
      <c r="X876" s="28"/>
      <c r="Y876" s="29"/>
      <c r="Z876" s="28"/>
      <c r="AA876" s="28"/>
      <c r="AB876" s="28"/>
      <c r="AC876" s="29"/>
    </row>
    <row r="877" spans="1:29" ht="18" x14ac:dyDescent="0.2">
      <c r="A877" s="70"/>
      <c r="B877" s="27" t="s">
        <v>6</v>
      </c>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row>
    <row r="878" spans="1:29" ht="18" x14ac:dyDescent="0.2">
      <c r="A878" s="70"/>
      <c r="B878" s="27" t="s">
        <v>3</v>
      </c>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row>
    <row r="879" spans="1:29" ht="18.75" customHeight="1" x14ac:dyDescent="0.2">
      <c r="A879" s="70" t="s">
        <v>145</v>
      </c>
      <c r="B879" s="27" t="s">
        <v>5</v>
      </c>
      <c r="C879" s="35"/>
      <c r="D879" s="28"/>
      <c r="E879" s="35"/>
      <c r="F879" s="35"/>
      <c r="G879" s="29"/>
      <c r="H879" s="28"/>
      <c r="I879" s="28"/>
      <c r="J879" s="28"/>
      <c r="K879" s="29"/>
      <c r="L879" s="28"/>
      <c r="M879" s="28"/>
      <c r="N879" s="28"/>
      <c r="O879" s="28"/>
      <c r="P879" s="29"/>
      <c r="Q879" s="28"/>
      <c r="R879" s="28"/>
      <c r="S879" s="28"/>
      <c r="T879" s="29"/>
      <c r="U879" s="28"/>
      <c r="V879" s="28"/>
      <c r="W879" s="28"/>
      <c r="X879" s="28"/>
      <c r="Y879" s="29"/>
      <c r="Z879" s="28"/>
      <c r="AA879" s="28"/>
      <c r="AB879" s="22"/>
      <c r="AC879" s="29"/>
    </row>
    <row r="880" spans="1:29" ht="18" x14ac:dyDescent="0.2">
      <c r="A880" s="70"/>
      <c r="B880" s="27" t="s">
        <v>6</v>
      </c>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row>
    <row r="881" spans="1:29" ht="18" x14ac:dyDescent="0.2">
      <c r="A881" s="70"/>
      <c r="B881" s="27" t="s">
        <v>3</v>
      </c>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row>
    <row r="882" spans="1:29" ht="18.75" customHeight="1" x14ac:dyDescent="0.2">
      <c r="A882" s="70"/>
      <c r="B882" s="27" t="s">
        <v>5</v>
      </c>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2"/>
      <c r="AC882" s="28"/>
    </row>
    <row r="883" spans="1:29" ht="18" x14ac:dyDescent="0.2">
      <c r="A883" s="70"/>
      <c r="B883" s="27" t="s">
        <v>6</v>
      </c>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row>
    <row r="884" spans="1:29" ht="18" x14ac:dyDescent="0.2">
      <c r="A884" s="70"/>
      <c r="B884" s="27" t="s">
        <v>3</v>
      </c>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row>
    <row r="885" spans="1:29" ht="18" customHeight="1" x14ac:dyDescent="0.2">
      <c r="A885" s="20" t="s">
        <v>0</v>
      </c>
      <c r="B885" s="21" t="s">
        <v>2</v>
      </c>
      <c r="C885" s="76" t="s">
        <v>13</v>
      </c>
      <c r="D885" s="76"/>
      <c r="E885" s="76"/>
      <c r="F885" s="76"/>
      <c r="G885" s="76"/>
      <c r="H885" s="76" t="s">
        <v>14</v>
      </c>
      <c r="I885" s="76"/>
      <c r="J885" s="76"/>
      <c r="K885" s="76"/>
      <c r="L885" s="76" t="s">
        <v>15</v>
      </c>
      <c r="M885" s="76"/>
      <c r="N885" s="76"/>
      <c r="O885" s="76"/>
      <c r="P885" s="76" t="s">
        <v>16</v>
      </c>
      <c r="Q885" s="76"/>
      <c r="R885" s="76"/>
      <c r="S885" s="76"/>
      <c r="T885" s="76"/>
      <c r="U885" s="76" t="s">
        <v>17</v>
      </c>
      <c r="V885" s="76"/>
      <c r="W885" s="76"/>
      <c r="X885" s="76"/>
      <c r="Y885" s="76" t="s">
        <v>18</v>
      </c>
      <c r="Z885" s="76"/>
      <c r="AA885" s="76"/>
      <c r="AB885" s="76"/>
      <c r="AC885" s="76"/>
    </row>
    <row r="886" spans="1:29" ht="18" x14ac:dyDescent="0.2">
      <c r="A886" s="20" t="s">
        <v>1</v>
      </c>
      <c r="B886" s="24" t="s">
        <v>3</v>
      </c>
      <c r="C886" s="28" t="str">
        <f>C796</f>
        <v>1-6</v>
      </c>
      <c r="D886" s="28" t="str">
        <f t="shared" ref="D886:AC886" si="57">D796</f>
        <v>7-13</v>
      </c>
      <c r="E886" s="28" t="str">
        <f t="shared" si="57"/>
        <v>14-20</v>
      </c>
      <c r="F886" s="28" t="str">
        <f t="shared" si="57"/>
        <v>21-27</v>
      </c>
      <c r="G886" s="28" t="str">
        <f t="shared" si="57"/>
        <v>28-31</v>
      </c>
      <c r="H886" s="28" t="str">
        <f t="shared" si="57"/>
        <v>1-10</v>
      </c>
      <c r="I886" s="28" t="str">
        <f t="shared" si="57"/>
        <v>11-17</v>
      </c>
      <c r="J886" s="28" t="str">
        <f t="shared" si="57"/>
        <v>18-24</v>
      </c>
      <c r="K886" s="28" t="str">
        <f t="shared" si="57"/>
        <v>25-31</v>
      </c>
      <c r="L886" s="28" t="str">
        <f t="shared" si="57"/>
        <v>1-7</v>
      </c>
      <c r="M886" s="28" t="str">
        <f t="shared" si="57"/>
        <v>8-14</v>
      </c>
      <c r="N886" s="28" t="str">
        <f t="shared" si="57"/>
        <v>15-21</v>
      </c>
      <c r="O886" s="28" t="str">
        <f t="shared" si="57"/>
        <v>22-30</v>
      </c>
      <c r="P886" s="28" t="str">
        <f t="shared" si="57"/>
        <v>1-5</v>
      </c>
      <c r="Q886" s="28" t="str">
        <f t="shared" si="57"/>
        <v>6-12</v>
      </c>
      <c r="R886" s="28" t="str">
        <f t="shared" si="57"/>
        <v>13-19</v>
      </c>
      <c r="S886" s="28" t="str">
        <f t="shared" si="57"/>
        <v>20-26</v>
      </c>
      <c r="T886" s="28" t="str">
        <f t="shared" si="57"/>
        <v>27-31</v>
      </c>
      <c r="U886" s="28" t="str">
        <f t="shared" si="57"/>
        <v>1-9</v>
      </c>
      <c r="V886" s="28" t="str">
        <f t="shared" si="57"/>
        <v>10-16</v>
      </c>
      <c r="W886" s="28" t="str">
        <f t="shared" si="57"/>
        <v>17-23</v>
      </c>
      <c r="X886" s="28" t="str">
        <f t="shared" si="57"/>
        <v>24-30</v>
      </c>
      <c r="Y886" s="28" t="str">
        <f t="shared" si="57"/>
        <v>1-7</v>
      </c>
      <c r="Z886" s="28" t="str">
        <f t="shared" si="57"/>
        <v>8-14</v>
      </c>
      <c r="AA886" s="28" t="str">
        <f t="shared" si="57"/>
        <v>15-21</v>
      </c>
      <c r="AB886" s="28" t="str">
        <f t="shared" si="57"/>
        <v>22-28</v>
      </c>
      <c r="AC886" s="28" t="str">
        <f t="shared" si="57"/>
        <v>29-31</v>
      </c>
    </row>
    <row r="887" spans="1:29" ht="18" x14ac:dyDescent="0.2">
      <c r="A887" s="34"/>
      <c r="B887" s="26" t="s">
        <v>4</v>
      </c>
      <c r="C887" s="22" t="s">
        <v>12</v>
      </c>
      <c r="D887" s="22" t="s">
        <v>12</v>
      </c>
      <c r="E887" s="22" t="s">
        <v>12</v>
      </c>
      <c r="F887" s="22" t="s">
        <v>12</v>
      </c>
      <c r="G887" s="22" t="s">
        <v>12</v>
      </c>
      <c r="H887" s="22" t="s">
        <v>12</v>
      </c>
      <c r="I887" s="22" t="s">
        <v>12</v>
      </c>
      <c r="J887" s="22" t="s">
        <v>12</v>
      </c>
      <c r="K887" s="22" t="s">
        <v>12</v>
      </c>
      <c r="L887" s="22" t="s">
        <v>12</v>
      </c>
      <c r="M887" s="22" t="s">
        <v>12</v>
      </c>
      <c r="N887" s="22" t="s">
        <v>12</v>
      </c>
      <c r="O887" s="22" t="s">
        <v>12</v>
      </c>
      <c r="P887" s="22" t="s">
        <v>12</v>
      </c>
      <c r="Q887" s="22" t="s">
        <v>12</v>
      </c>
      <c r="R887" s="22" t="s">
        <v>12</v>
      </c>
      <c r="S887" s="22" t="s">
        <v>12</v>
      </c>
      <c r="T887" s="22" t="s">
        <v>12</v>
      </c>
      <c r="U887" s="22" t="s">
        <v>12</v>
      </c>
      <c r="V887" s="22" t="s">
        <v>12</v>
      </c>
      <c r="W887" s="22" t="s">
        <v>12</v>
      </c>
      <c r="X887" s="22" t="s">
        <v>12</v>
      </c>
      <c r="Y887" s="22" t="s">
        <v>12</v>
      </c>
      <c r="Z887" s="22" t="s">
        <v>12</v>
      </c>
      <c r="AA887" s="22" t="s">
        <v>12</v>
      </c>
      <c r="AB887" s="22" t="s">
        <v>12</v>
      </c>
      <c r="AC887" s="22" t="s">
        <v>12</v>
      </c>
    </row>
    <row r="888" spans="1:29" ht="18.75" customHeight="1" x14ac:dyDescent="0.2">
      <c r="A888" s="70" t="s">
        <v>144</v>
      </c>
      <c r="B888" s="27" t="s">
        <v>5</v>
      </c>
      <c r="C888" s="28"/>
      <c r="D888" s="28"/>
      <c r="E888" s="28"/>
      <c r="F888" s="28"/>
      <c r="G888" s="29"/>
      <c r="H888" s="28"/>
      <c r="I888" s="28"/>
      <c r="J888" s="28"/>
      <c r="K888" s="29"/>
      <c r="L888" s="28"/>
      <c r="M888" s="28"/>
      <c r="N888" s="28"/>
      <c r="O888" s="29"/>
      <c r="P888" s="28"/>
      <c r="Q888" s="28"/>
      <c r="R888" s="28"/>
      <c r="S888" s="28"/>
      <c r="T888" s="29"/>
      <c r="U888" s="28"/>
      <c r="V888" s="28"/>
      <c r="W888" s="28"/>
      <c r="X888" s="29"/>
      <c r="Y888" s="28"/>
      <c r="Z888" s="28"/>
      <c r="AA888" s="28"/>
      <c r="AB888" s="28"/>
      <c r="AC888" s="29"/>
    </row>
    <row r="889" spans="1:29" ht="18" x14ac:dyDescent="0.2">
      <c r="A889" s="70"/>
      <c r="B889" s="27" t="s">
        <v>6</v>
      </c>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row>
    <row r="890" spans="1:29" ht="18" x14ac:dyDescent="0.2">
      <c r="A890" s="70"/>
      <c r="B890" s="27" t="s">
        <v>3</v>
      </c>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row>
    <row r="891" spans="1:29" ht="18.75" customHeight="1" x14ac:dyDescent="0.2">
      <c r="A891" s="70" t="s">
        <v>145</v>
      </c>
      <c r="B891" s="27" t="s">
        <v>5</v>
      </c>
      <c r="C891" s="29"/>
      <c r="D891" s="28"/>
      <c r="E891" s="28"/>
      <c r="F891" s="35"/>
      <c r="G891" s="28"/>
      <c r="H891" s="28"/>
      <c r="I891" s="28"/>
      <c r="J891" s="28"/>
      <c r="K891" s="28"/>
      <c r="L891" s="28"/>
      <c r="M891" s="28"/>
      <c r="N891" s="28"/>
      <c r="O891" s="28"/>
      <c r="P891" s="28"/>
      <c r="Q891" s="28"/>
      <c r="R891" s="28"/>
      <c r="S891" s="28"/>
      <c r="T891" s="28"/>
      <c r="U891" s="28"/>
      <c r="V891" s="28"/>
      <c r="W891" s="28"/>
      <c r="X891" s="28"/>
      <c r="Y891" s="28"/>
      <c r="Z891" s="28"/>
      <c r="AA891" s="28"/>
      <c r="AB891" s="22"/>
      <c r="AC891" s="28"/>
    </row>
    <row r="892" spans="1:29" ht="18" x14ac:dyDescent="0.2">
      <c r="A892" s="70"/>
      <c r="B892" s="27" t="s">
        <v>6</v>
      </c>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row>
    <row r="893" spans="1:29" ht="18" x14ac:dyDescent="0.2">
      <c r="A893" s="70"/>
      <c r="B893" s="27" t="s">
        <v>3</v>
      </c>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row>
    <row r="894" spans="1:29" ht="18.75" customHeight="1" x14ac:dyDescent="0.2">
      <c r="A894" s="70"/>
      <c r="B894" s="27" t="s">
        <v>5</v>
      </c>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2"/>
      <c r="AC894" s="28"/>
    </row>
    <row r="895" spans="1:29" ht="18" x14ac:dyDescent="0.2">
      <c r="A895" s="70"/>
      <c r="B895" s="27" t="s">
        <v>6</v>
      </c>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row>
    <row r="896" spans="1:29" ht="18" x14ac:dyDescent="0.2">
      <c r="A896" s="70"/>
      <c r="B896" s="27" t="s">
        <v>3</v>
      </c>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row>
    <row r="897" spans="1:29" ht="18" x14ac:dyDescent="0.4">
      <c r="A897" s="4" t="s">
        <v>219</v>
      </c>
      <c r="B897" s="4"/>
      <c r="C897" s="4"/>
      <c r="D897" s="4"/>
      <c r="E897" s="4"/>
      <c r="F897" s="4"/>
      <c r="G897" s="4"/>
      <c r="H897" s="4"/>
      <c r="I897" s="4"/>
      <c r="J897" s="4"/>
      <c r="K897" s="4"/>
      <c r="L897" s="4"/>
      <c r="M897" s="4"/>
      <c r="N897" s="4"/>
      <c r="O897" s="4"/>
      <c r="P897" s="4"/>
      <c r="Q897" s="4"/>
      <c r="R897" s="4"/>
      <c r="S897" s="4"/>
      <c r="T897" s="4"/>
      <c r="U897" s="4"/>
      <c r="V897" s="4"/>
      <c r="W897" s="71" t="s">
        <v>173</v>
      </c>
      <c r="X897" s="71"/>
      <c r="Y897" s="71"/>
      <c r="Z897" s="71"/>
      <c r="AA897" s="71"/>
      <c r="AB897" s="71"/>
      <c r="AC897" s="71"/>
    </row>
    <row r="898" spans="1:29" ht="18" x14ac:dyDescent="0.4">
      <c r="A898" s="18"/>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spans="1:29" ht="18" x14ac:dyDescent="0.4">
      <c r="A899" s="9"/>
      <c r="B899" s="9"/>
      <c r="C899" s="9"/>
      <c r="D899" s="9"/>
      <c r="E899" s="9"/>
      <c r="F899" s="9"/>
      <c r="G899" s="9"/>
      <c r="H899" s="9"/>
      <c r="I899" s="9"/>
      <c r="J899" s="9"/>
      <c r="K899" s="9"/>
      <c r="L899" s="9"/>
      <c r="M899" s="9"/>
      <c r="N899" s="9"/>
      <c r="O899" s="9"/>
      <c r="P899" s="72" t="s">
        <v>28</v>
      </c>
      <c r="Q899" s="72"/>
      <c r="R899" s="73" t="str">
        <f>R839</f>
        <v>พีรวัส</v>
      </c>
      <c r="S899" s="73"/>
      <c r="T899" s="73"/>
      <c r="U899" s="72" t="s">
        <v>30</v>
      </c>
      <c r="V899" s="72"/>
      <c r="W899" s="73" t="str">
        <f>W839</f>
        <v>วรพงศ์</v>
      </c>
      <c r="X899" s="73"/>
      <c r="Y899" s="73"/>
      <c r="Z899" s="8" t="s">
        <v>29</v>
      </c>
      <c r="AA899" s="74">
        <f>AA839</f>
        <v>46021</v>
      </c>
      <c r="AB899" s="74"/>
      <c r="AC899" s="74"/>
    </row>
    <row r="900" spans="1:29" ht="18" customHeight="1" x14ac:dyDescent="0.2"/>
    <row r="901" spans="1:29" ht="23.25" x14ac:dyDescent="0.5">
      <c r="A901" s="80" t="s">
        <v>26</v>
      </c>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c r="AA901" s="80"/>
      <c r="AB901" s="80"/>
      <c r="AC901" s="80"/>
    </row>
    <row r="902" spans="1:29" ht="21" x14ac:dyDescent="0.45">
      <c r="A902" s="6" t="s">
        <v>22</v>
      </c>
      <c r="B902" s="93" t="s">
        <v>159</v>
      </c>
      <c r="C902" s="93"/>
      <c r="D902" s="93"/>
      <c r="E902" s="93"/>
      <c r="F902" s="93"/>
      <c r="G902" s="93"/>
      <c r="H902" s="6" t="s">
        <v>24</v>
      </c>
      <c r="I902" s="84" t="s">
        <v>160</v>
      </c>
      <c r="J902" s="88"/>
      <c r="K902" s="88"/>
      <c r="L902" s="88"/>
      <c r="M902" s="83" t="s">
        <v>25</v>
      </c>
      <c r="N902" s="83"/>
      <c r="O902" s="81" t="s">
        <v>161</v>
      </c>
      <c r="P902" s="81"/>
      <c r="Q902" s="81"/>
      <c r="R902" s="81"/>
      <c r="S902" s="81"/>
      <c r="T902" s="6" t="s">
        <v>20</v>
      </c>
      <c r="U902" s="81">
        <f>$U$2</f>
        <v>2569</v>
      </c>
      <c r="V902" s="81"/>
      <c r="W902" s="83" t="s">
        <v>35</v>
      </c>
      <c r="X902" s="83"/>
      <c r="Y902" s="83"/>
      <c r="Z902" s="4" t="s">
        <v>21</v>
      </c>
      <c r="AA902" s="1"/>
      <c r="AB902" s="1"/>
      <c r="AC902" s="1"/>
    </row>
    <row r="903" spans="1:29" ht="18" customHeight="1" x14ac:dyDescent="0.2">
      <c r="A903" s="20" t="s">
        <v>0</v>
      </c>
      <c r="B903" s="21" t="s">
        <v>2</v>
      </c>
      <c r="C903" s="75" t="s">
        <v>32</v>
      </c>
      <c r="D903" s="75"/>
      <c r="E903" s="75"/>
      <c r="F903" s="75"/>
      <c r="G903" s="75"/>
      <c r="H903" s="75" t="s">
        <v>7</v>
      </c>
      <c r="I903" s="75"/>
      <c r="J903" s="75"/>
      <c r="K903" s="75"/>
      <c r="L903" s="77" t="s">
        <v>8</v>
      </c>
      <c r="M903" s="78"/>
      <c r="N903" s="78"/>
      <c r="O903" s="79"/>
      <c r="P903" s="77" t="s">
        <v>9</v>
      </c>
      <c r="Q903" s="78"/>
      <c r="R903" s="78"/>
      <c r="S903" s="78"/>
      <c r="T903" s="79"/>
      <c r="U903" s="75" t="s">
        <v>10</v>
      </c>
      <c r="V903" s="75"/>
      <c r="W903" s="75"/>
      <c r="X903" s="75"/>
      <c r="Y903" s="75"/>
      <c r="Z903" s="75" t="s">
        <v>11</v>
      </c>
      <c r="AA903" s="75"/>
      <c r="AB903" s="75"/>
      <c r="AC903" s="75"/>
    </row>
    <row r="904" spans="1:29" ht="18" x14ac:dyDescent="0.2">
      <c r="A904" s="23" t="s">
        <v>1</v>
      </c>
      <c r="B904" s="24" t="s">
        <v>3</v>
      </c>
      <c r="C904" s="28" t="str">
        <f>C874</f>
        <v>1-5</v>
      </c>
      <c r="D904" s="28" t="str">
        <f t="shared" ref="D904:AC904" si="58">D874</f>
        <v>6-12</v>
      </c>
      <c r="E904" s="28" t="str">
        <f t="shared" si="58"/>
        <v>13-19</v>
      </c>
      <c r="F904" s="28" t="str">
        <f t="shared" si="58"/>
        <v>20-26</v>
      </c>
      <c r="G904" s="28" t="str">
        <f t="shared" si="58"/>
        <v>27-31</v>
      </c>
      <c r="H904" s="28" t="str">
        <f t="shared" si="58"/>
        <v>1-9</v>
      </c>
      <c r="I904" s="28" t="str">
        <f t="shared" si="58"/>
        <v>10-16</v>
      </c>
      <c r="J904" s="28" t="str">
        <f t="shared" si="58"/>
        <v>17-23</v>
      </c>
      <c r="K904" s="28" t="str">
        <f t="shared" si="58"/>
        <v>24-28</v>
      </c>
      <c r="L904" s="28" t="str">
        <f t="shared" si="58"/>
        <v>1-9</v>
      </c>
      <c r="M904" s="28" t="str">
        <f t="shared" si="58"/>
        <v>10-16</v>
      </c>
      <c r="N904" s="28" t="str">
        <f t="shared" si="58"/>
        <v>17-23</v>
      </c>
      <c r="O904" s="28" t="str">
        <f t="shared" si="58"/>
        <v>24-31</v>
      </c>
      <c r="P904" s="28" t="str">
        <f t="shared" si="58"/>
        <v>1-6</v>
      </c>
      <c r="Q904" s="28" t="str">
        <f t="shared" si="58"/>
        <v>7-13</v>
      </c>
      <c r="R904" s="28" t="str">
        <f t="shared" si="58"/>
        <v>14-20</v>
      </c>
      <c r="S904" s="28" t="str">
        <f t="shared" si="58"/>
        <v>21-27</v>
      </c>
      <c r="T904" s="28" t="str">
        <f t="shared" si="58"/>
        <v>28-30</v>
      </c>
      <c r="U904" s="28" t="str">
        <f t="shared" si="58"/>
        <v>1-4</v>
      </c>
      <c r="V904" s="28" t="str">
        <f t="shared" si="58"/>
        <v>5-11</v>
      </c>
      <c r="W904" s="28" t="str">
        <f t="shared" si="58"/>
        <v>12-18</v>
      </c>
      <c r="X904" s="28" t="str">
        <f t="shared" si="58"/>
        <v>19-25</v>
      </c>
      <c r="Y904" s="28" t="str">
        <f t="shared" si="58"/>
        <v>26-31</v>
      </c>
      <c r="Z904" s="28" t="str">
        <f t="shared" si="58"/>
        <v>1-8</v>
      </c>
      <c r="AA904" s="28" t="str">
        <f t="shared" si="58"/>
        <v>9-15</v>
      </c>
      <c r="AB904" s="28" t="str">
        <f t="shared" si="58"/>
        <v>16-22</v>
      </c>
      <c r="AC904" s="28" t="str">
        <f t="shared" si="58"/>
        <v>23-30</v>
      </c>
    </row>
    <row r="905" spans="1:29" ht="18" x14ac:dyDescent="0.2">
      <c r="A905" s="25"/>
      <c r="B905" s="26" t="s">
        <v>4</v>
      </c>
      <c r="C905" s="22" t="s">
        <v>12</v>
      </c>
      <c r="D905" s="22" t="s">
        <v>12</v>
      </c>
      <c r="E905" s="22" t="s">
        <v>12</v>
      </c>
      <c r="F905" s="22" t="s">
        <v>12</v>
      </c>
      <c r="G905" s="22" t="s">
        <v>12</v>
      </c>
      <c r="H905" s="22" t="s">
        <v>12</v>
      </c>
      <c r="I905" s="22" t="s">
        <v>12</v>
      </c>
      <c r="J905" s="22" t="s">
        <v>12</v>
      </c>
      <c r="K905" s="22" t="s">
        <v>12</v>
      </c>
      <c r="L905" s="22" t="s">
        <v>12</v>
      </c>
      <c r="M905" s="22" t="s">
        <v>12</v>
      </c>
      <c r="N905" s="22" t="s">
        <v>12</v>
      </c>
      <c r="O905" s="22" t="s">
        <v>12</v>
      </c>
      <c r="P905" s="22" t="s">
        <v>12</v>
      </c>
      <c r="Q905" s="22" t="s">
        <v>12</v>
      </c>
      <c r="R905" s="22" t="s">
        <v>12</v>
      </c>
      <c r="S905" s="22" t="s">
        <v>12</v>
      </c>
      <c r="T905" s="22" t="s">
        <v>12</v>
      </c>
      <c r="U905" s="22" t="s">
        <v>12</v>
      </c>
      <c r="V905" s="22" t="s">
        <v>12</v>
      </c>
      <c r="W905" s="22" t="s">
        <v>12</v>
      </c>
      <c r="X905" s="22" t="s">
        <v>12</v>
      </c>
      <c r="Y905" s="22" t="s">
        <v>12</v>
      </c>
      <c r="Z905" s="22" t="s">
        <v>12</v>
      </c>
      <c r="AA905" s="22" t="s">
        <v>12</v>
      </c>
      <c r="AB905" s="22" t="s">
        <v>12</v>
      </c>
      <c r="AC905" s="22" t="s">
        <v>12</v>
      </c>
    </row>
    <row r="906" spans="1:29" ht="18.75" customHeight="1" x14ac:dyDescent="0.2">
      <c r="A906" s="70" t="s">
        <v>208</v>
      </c>
      <c r="B906" s="27" t="s">
        <v>5</v>
      </c>
      <c r="C906" s="28"/>
      <c r="D906" s="28"/>
      <c r="E906" s="28"/>
      <c r="F906" s="28"/>
      <c r="G906" s="29"/>
      <c r="H906" s="28"/>
      <c r="I906" s="28"/>
      <c r="J906" s="28"/>
      <c r="K906" s="29"/>
      <c r="L906" s="28"/>
      <c r="M906" s="28"/>
      <c r="N906" s="28"/>
      <c r="O906" s="28"/>
      <c r="P906" s="29"/>
      <c r="Q906" s="28"/>
      <c r="R906" s="28"/>
      <c r="S906" s="28"/>
      <c r="T906" s="29"/>
      <c r="U906" s="28"/>
      <c r="V906" s="28"/>
      <c r="W906" s="28"/>
      <c r="X906" s="28"/>
      <c r="Y906" s="29"/>
      <c r="Z906" s="28"/>
      <c r="AA906" s="28"/>
      <c r="AB906" s="28"/>
      <c r="AC906" s="29" t="s">
        <v>60</v>
      </c>
    </row>
    <row r="907" spans="1:29" ht="18" x14ac:dyDescent="0.2">
      <c r="A907" s="70"/>
      <c r="B907" s="27" t="s">
        <v>6</v>
      </c>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row>
    <row r="908" spans="1:29" ht="18" x14ac:dyDescent="0.2">
      <c r="A908" s="70"/>
      <c r="B908" s="27" t="s">
        <v>3</v>
      </c>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row>
    <row r="909" spans="1:29" ht="18.75" customHeight="1" x14ac:dyDescent="0.2">
      <c r="A909" s="70" t="s">
        <v>209</v>
      </c>
      <c r="B909" s="27" t="s">
        <v>5</v>
      </c>
      <c r="C909" s="35"/>
      <c r="D909" s="28"/>
      <c r="E909" s="35"/>
      <c r="F909" s="35"/>
      <c r="G909" s="29"/>
      <c r="H909" s="28"/>
      <c r="I909" s="28"/>
      <c r="J909" s="28"/>
      <c r="K909" s="29"/>
      <c r="L909" s="28"/>
      <c r="M909" s="28"/>
      <c r="N909" s="28"/>
      <c r="O909" s="28"/>
      <c r="P909" s="29"/>
      <c r="Q909" s="28"/>
      <c r="R909" s="28"/>
      <c r="S909" s="28"/>
      <c r="T909" s="29"/>
      <c r="U909" s="28"/>
      <c r="V909" s="28"/>
      <c r="W909" s="28"/>
      <c r="X909" s="28"/>
      <c r="Y909" s="29"/>
      <c r="Z909" s="28"/>
      <c r="AA909" s="28"/>
      <c r="AB909" s="22"/>
      <c r="AC909" s="29" t="s">
        <v>60</v>
      </c>
    </row>
    <row r="910" spans="1:29" ht="18" x14ac:dyDescent="0.2">
      <c r="A910" s="70"/>
      <c r="B910" s="27" t="s">
        <v>6</v>
      </c>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row>
    <row r="911" spans="1:29" ht="18" x14ac:dyDescent="0.2">
      <c r="A911" s="70"/>
      <c r="B911" s="27" t="s">
        <v>3</v>
      </c>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row>
    <row r="912" spans="1:29" ht="18.75" customHeight="1" x14ac:dyDescent="0.2">
      <c r="A912" s="70"/>
      <c r="B912" s="27" t="s">
        <v>5</v>
      </c>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2"/>
      <c r="AC912" s="28"/>
    </row>
    <row r="913" spans="1:29" ht="18" x14ac:dyDescent="0.2">
      <c r="A913" s="70"/>
      <c r="B913" s="27" t="s">
        <v>6</v>
      </c>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row>
    <row r="914" spans="1:29" ht="18" x14ac:dyDescent="0.2">
      <c r="A914" s="70"/>
      <c r="B914" s="27" t="s">
        <v>3</v>
      </c>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row>
    <row r="915" spans="1:29" ht="18" customHeight="1" x14ac:dyDescent="0.2">
      <c r="A915" s="20" t="s">
        <v>0</v>
      </c>
      <c r="B915" s="21" t="s">
        <v>2</v>
      </c>
      <c r="C915" s="76" t="s">
        <v>13</v>
      </c>
      <c r="D915" s="76"/>
      <c r="E915" s="76"/>
      <c r="F915" s="76"/>
      <c r="G915" s="76"/>
      <c r="H915" s="76" t="s">
        <v>14</v>
      </c>
      <c r="I915" s="76"/>
      <c r="J915" s="76"/>
      <c r="K915" s="76"/>
      <c r="L915" s="76" t="s">
        <v>15</v>
      </c>
      <c r="M915" s="76"/>
      <c r="N915" s="76"/>
      <c r="O915" s="76"/>
      <c r="P915" s="76" t="s">
        <v>16</v>
      </c>
      <c r="Q915" s="76"/>
      <c r="R915" s="76"/>
      <c r="S915" s="76"/>
      <c r="T915" s="76"/>
      <c r="U915" s="76" t="s">
        <v>17</v>
      </c>
      <c r="V915" s="76"/>
      <c r="W915" s="76"/>
      <c r="X915" s="76"/>
      <c r="Y915" s="76" t="s">
        <v>18</v>
      </c>
      <c r="Z915" s="76"/>
      <c r="AA915" s="76"/>
      <c r="AB915" s="76"/>
      <c r="AC915" s="76"/>
    </row>
    <row r="916" spans="1:29" ht="18" x14ac:dyDescent="0.2">
      <c r="A916" s="20" t="s">
        <v>1</v>
      </c>
      <c r="B916" s="24" t="s">
        <v>3</v>
      </c>
      <c r="C916" s="28" t="str">
        <f>C886</f>
        <v>1-6</v>
      </c>
      <c r="D916" s="28" t="str">
        <f t="shared" ref="D916:AC916" si="59">D886</f>
        <v>7-13</v>
      </c>
      <c r="E916" s="28" t="str">
        <f t="shared" si="59"/>
        <v>14-20</v>
      </c>
      <c r="F916" s="28" t="str">
        <f t="shared" si="59"/>
        <v>21-27</v>
      </c>
      <c r="G916" s="28" t="str">
        <f t="shared" si="59"/>
        <v>28-31</v>
      </c>
      <c r="H916" s="28" t="str">
        <f t="shared" si="59"/>
        <v>1-10</v>
      </c>
      <c r="I916" s="28" t="str">
        <f t="shared" si="59"/>
        <v>11-17</v>
      </c>
      <c r="J916" s="28" t="str">
        <f t="shared" si="59"/>
        <v>18-24</v>
      </c>
      <c r="K916" s="28" t="str">
        <f t="shared" si="59"/>
        <v>25-31</v>
      </c>
      <c r="L916" s="28" t="str">
        <f t="shared" si="59"/>
        <v>1-7</v>
      </c>
      <c r="M916" s="28" t="str">
        <f t="shared" si="59"/>
        <v>8-14</v>
      </c>
      <c r="N916" s="28" t="str">
        <f t="shared" si="59"/>
        <v>15-21</v>
      </c>
      <c r="O916" s="28" t="str">
        <f t="shared" si="59"/>
        <v>22-30</v>
      </c>
      <c r="P916" s="28" t="str">
        <f t="shared" si="59"/>
        <v>1-5</v>
      </c>
      <c r="Q916" s="28" t="str">
        <f t="shared" si="59"/>
        <v>6-12</v>
      </c>
      <c r="R916" s="28" t="str">
        <f t="shared" si="59"/>
        <v>13-19</v>
      </c>
      <c r="S916" s="28" t="str">
        <f t="shared" si="59"/>
        <v>20-26</v>
      </c>
      <c r="T916" s="28" t="str">
        <f t="shared" si="59"/>
        <v>27-31</v>
      </c>
      <c r="U916" s="28" t="str">
        <f t="shared" si="59"/>
        <v>1-9</v>
      </c>
      <c r="V916" s="28" t="str">
        <f t="shared" si="59"/>
        <v>10-16</v>
      </c>
      <c r="W916" s="28" t="str">
        <f t="shared" si="59"/>
        <v>17-23</v>
      </c>
      <c r="X916" s="28" t="str">
        <f t="shared" si="59"/>
        <v>24-30</v>
      </c>
      <c r="Y916" s="28" t="str">
        <f t="shared" si="59"/>
        <v>1-7</v>
      </c>
      <c r="Z916" s="28" t="str">
        <f t="shared" si="59"/>
        <v>8-14</v>
      </c>
      <c r="AA916" s="28" t="str">
        <f t="shared" si="59"/>
        <v>15-21</v>
      </c>
      <c r="AB916" s="28" t="str">
        <f t="shared" si="59"/>
        <v>22-28</v>
      </c>
      <c r="AC916" s="28" t="str">
        <f t="shared" si="59"/>
        <v>29-31</v>
      </c>
    </row>
    <row r="917" spans="1:29" ht="18" x14ac:dyDescent="0.2">
      <c r="A917" s="34"/>
      <c r="B917" s="26" t="s">
        <v>4</v>
      </c>
      <c r="C917" s="22" t="s">
        <v>12</v>
      </c>
      <c r="D917" s="22" t="s">
        <v>12</v>
      </c>
      <c r="E917" s="22" t="s">
        <v>12</v>
      </c>
      <c r="F917" s="22" t="s">
        <v>12</v>
      </c>
      <c r="G917" s="22" t="s">
        <v>12</v>
      </c>
      <c r="H917" s="22" t="s">
        <v>12</v>
      </c>
      <c r="I917" s="22" t="s">
        <v>12</v>
      </c>
      <c r="J917" s="22" t="s">
        <v>12</v>
      </c>
      <c r="K917" s="22" t="s">
        <v>12</v>
      </c>
      <c r="L917" s="22" t="s">
        <v>12</v>
      </c>
      <c r="M917" s="22" t="s">
        <v>12</v>
      </c>
      <c r="N917" s="22" t="s">
        <v>12</v>
      </c>
      <c r="O917" s="22" t="s">
        <v>12</v>
      </c>
      <c r="P917" s="22" t="s">
        <v>12</v>
      </c>
      <c r="Q917" s="22" t="s">
        <v>12</v>
      </c>
      <c r="R917" s="22" t="s">
        <v>12</v>
      </c>
      <c r="S917" s="22" t="s">
        <v>12</v>
      </c>
      <c r="T917" s="22" t="s">
        <v>12</v>
      </c>
      <c r="U917" s="22" t="s">
        <v>12</v>
      </c>
      <c r="V917" s="22" t="s">
        <v>12</v>
      </c>
      <c r="W917" s="22" t="s">
        <v>12</v>
      </c>
      <c r="X917" s="22" t="s">
        <v>12</v>
      </c>
      <c r="Y917" s="22" t="s">
        <v>12</v>
      </c>
      <c r="Z917" s="22" t="s">
        <v>12</v>
      </c>
      <c r="AA917" s="22" t="s">
        <v>12</v>
      </c>
      <c r="AB917" s="22" t="s">
        <v>12</v>
      </c>
      <c r="AC917" s="22" t="s">
        <v>12</v>
      </c>
    </row>
    <row r="918" spans="1:29" ht="18.75" customHeight="1" x14ac:dyDescent="0.2">
      <c r="A918" s="70" t="s">
        <v>208</v>
      </c>
      <c r="B918" s="27" t="s">
        <v>5</v>
      </c>
      <c r="C918" s="28"/>
      <c r="D918" s="28"/>
      <c r="E918" s="28"/>
      <c r="F918" s="28"/>
      <c r="G918" s="29"/>
      <c r="H918" s="28"/>
      <c r="I918" s="28"/>
      <c r="J918" s="28"/>
      <c r="K918" s="29"/>
      <c r="L918" s="28"/>
      <c r="M918" s="28"/>
      <c r="N918" s="28"/>
      <c r="O918" s="29"/>
      <c r="P918" s="28"/>
      <c r="Q918" s="28"/>
      <c r="R918" s="28"/>
      <c r="S918" s="28"/>
      <c r="T918" s="29"/>
      <c r="U918" s="28"/>
      <c r="V918" s="28"/>
      <c r="W918" s="28"/>
      <c r="X918" s="29"/>
      <c r="Y918" s="28"/>
      <c r="Z918" s="28"/>
      <c r="AA918" s="28"/>
      <c r="AB918" s="28"/>
      <c r="AC918" s="29" t="s">
        <v>60</v>
      </c>
    </row>
    <row r="919" spans="1:29" ht="18" x14ac:dyDescent="0.2">
      <c r="A919" s="70"/>
      <c r="B919" s="27" t="s">
        <v>6</v>
      </c>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row>
    <row r="920" spans="1:29" ht="18" x14ac:dyDescent="0.2">
      <c r="A920" s="70"/>
      <c r="B920" s="27" t="s">
        <v>3</v>
      </c>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row>
    <row r="921" spans="1:29" ht="18.75" customHeight="1" x14ac:dyDescent="0.2">
      <c r="A921" s="70" t="s">
        <v>209</v>
      </c>
      <c r="B921" s="27" t="s">
        <v>5</v>
      </c>
      <c r="C921" s="29"/>
      <c r="D921" s="28"/>
      <c r="E921" s="28"/>
      <c r="F921" s="35"/>
      <c r="G921" s="28"/>
      <c r="H921" s="28"/>
      <c r="I921" s="28"/>
      <c r="J921" s="28"/>
      <c r="K921" s="28"/>
      <c r="L921" s="28"/>
      <c r="M921" s="28"/>
      <c r="N921" s="28"/>
      <c r="O921" s="28"/>
      <c r="P921" s="28"/>
      <c r="Q921" s="28"/>
      <c r="R921" s="28"/>
      <c r="S921" s="28"/>
      <c r="T921" s="28"/>
      <c r="U921" s="28"/>
      <c r="V921" s="28"/>
      <c r="W921" s="28"/>
      <c r="X921" s="28"/>
      <c r="Y921" s="28"/>
      <c r="Z921" s="28"/>
      <c r="AA921" s="28"/>
      <c r="AB921" s="22"/>
      <c r="AC921" s="29" t="s">
        <v>60</v>
      </c>
    </row>
    <row r="922" spans="1:29" ht="18" x14ac:dyDescent="0.2">
      <c r="A922" s="70"/>
      <c r="B922" s="27" t="s">
        <v>6</v>
      </c>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row>
    <row r="923" spans="1:29" ht="18" x14ac:dyDescent="0.2">
      <c r="A923" s="70"/>
      <c r="B923" s="27" t="s">
        <v>3</v>
      </c>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row>
    <row r="924" spans="1:29" ht="18.75" customHeight="1" x14ac:dyDescent="0.2">
      <c r="A924" s="70"/>
      <c r="B924" s="27" t="s">
        <v>5</v>
      </c>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2"/>
      <c r="AC924" s="28"/>
    </row>
    <row r="925" spans="1:29" ht="18" x14ac:dyDescent="0.2">
      <c r="A925" s="70"/>
      <c r="B925" s="27" t="s">
        <v>6</v>
      </c>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row>
    <row r="926" spans="1:29" ht="18" x14ac:dyDescent="0.2">
      <c r="A926" s="70"/>
      <c r="B926" s="27" t="s">
        <v>3</v>
      </c>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row>
    <row r="927" spans="1:29" ht="18" x14ac:dyDescent="0.4">
      <c r="A927" s="4" t="s">
        <v>219</v>
      </c>
      <c r="B927" s="4"/>
      <c r="C927" s="4"/>
      <c r="D927" s="4"/>
      <c r="E927" s="4"/>
      <c r="F927" s="4"/>
      <c r="G927" s="4"/>
      <c r="H927" s="4"/>
      <c r="I927" s="4"/>
      <c r="J927" s="4"/>
      <c r="K927" s="4"/>
      <c r="L927" s="4"/>
      <c r="M927" s="4"/>
      <c r="N927" s="4"/>
      <c r="O927" s="4"/>
      <c r="P927" s="4"/>
      <c r="Q927" s="4"/>
      <c r="R927" s="4"/>
      <c r="S927" s="4"/>
      <c r="T927" s="4"/>
      <c r="U927" s="4"/>
      <c r="V927" s="4"/>
      <c r="W927" s="71" t="s">
        <v>173</v>
      </c>
      <c r="X927" s="71"/>
      <c r="Y927" s="71"/>
      <c r="Z927" s="71"/>
      <c r="AA927" s="71"/>
      <c r="AB927" s="71"/>
      <c r="AC927" s="71"/>
    </row>
    <row r="928" spans="1:29" ht="18" x14ac:dyDescent="0.4">
      <c r="A928" s="18"/>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spans="1:29" ht="18" x14ac:dyDescent="0.4">
      <c r="A929" s="9"/>
      <c r="B929" s="9"/>
      <c r="C929" s="9"/>
      <c r="D929" s="9"/>
      <c r="E929" s="9"/>
      <c r="F929" s="9"/>
      <c r="G929" s="9"/>
      <c r="H929" s="9"/>
      <c r="I929" s="9"/>
      <c r="J929" s="9"/>
      <c r="K929" s="9"/>
      <c r="L929" s="9"/>
      <c r="M929" s="9"/>
      <c r="N929" s="9"/>
      <c r="O929" s="9"/>
      <c r="P929" s="72" t="s">
        <v>28</v>
      </c>
      <c r="Q929" s="72"/>
      <c r="R929" s="73" t="str">
        <f>R899</f>
        <v>พีรวัส</v>
      </c>
      <c r="S929" s="73"/>
      <c r="T929" s="73"/>
      <c r="U929" s="72" t="s">
        <v>30</v>
      </c>
      <c r="V929" s="72"/>
      <c r="W929" s="73" t="str">
        <f>W899</f>
        <v>วรพงศ์</v>
      </c>
      <c r="X929" s="73"/>
      <c r="Y929" s="73"/>
      <c r="Z929" s="8" t="s">
        <v>29</v>
      </c>
      <c r="AA929" s="74">
        <f>AA899</f>
        <v>46021</v>
      </c>
      <c r="AB929" s="74"/>
      <c r="AC929" s="74"/>
    </row>
    <row r="930" spans="1:29" ht="18" customHeight="1" x14ac:dyDescent="0.2"/>
    <row r="931" spans="1:29" ht="23.25" x14ac:dyDescent="0.5">
      <c r="A931" s="80" t="s">
        <v>26</v>
      </c>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c r="AA931" s="80"/>
      <c r="AB931" s="80"/>
      <c r="AC931" s="80"/>
    </row>
    <row r="932" spans="1:29" ht="21" x14ac:dyDescent="0.45">
      <c r="A932" s="6" t="s">
        <v>22</v>
      </c>
      <c r="B932" s="81" t="s">
        <v>287</v>
      </c>
      <c r="C932" s="81"/>
      <c r="D932" s="81"/>
      <c r="E932" s="81"/>
      <c r="F932" s="81"/>
      <c r="G932" s="81"/>
      <c r="H932" s="6" t="s">
        <v>24</v>
      </c>
      <c r="I932" s="82"/>
      <c r="J932" s="82"/>
      <c r="K932" s="82"/>
      <c r="L932" s="82"/>
      <c r="M932" s="83" t="s">
        <v>25</v>
      </c>
      <c r="N932" s="83"/>
      <c r="O932" s="81" t="s">
        <v>103</v>
      </c>
      <c r="P932" s="81"/>
      <c r="Q932" s="81"/>
      <c r="R932" s="81"/>
      <c r="S932" s="81"/>
      <c r="T932" s="6" t="s">
        <v>20</v>
      </c>
      <c r="U932" s="81">
        <f>$U$2</f>
        <v>2569</v>
      </c>
      <c r="V932" s="81"/>
      <c r="W932" s="83" t="s">
        <v>35</v>
      </c>
      <c r="X932" s="83"/>
      <c r="Y932" s="83"/>
      <c r="Z932" s="4" t="s">
        <v>21</v>
      </c>
      <c r="AA932" s="1"/>
      <c r="AB932" s="1"/>
      <c r="AC932" s="1"/>
    </row>
    <row r="933" spans="1:29" ht="18" x14ac:dyDescent="0.2">
      <c r="A933" s="20" t="s">
        <v>0</v>
      </c>
      <c r="B933" s="21" t="s">
        <v>2</v>
      </c>
      <c r="C933" s="75" t="s">
        <v>32</v>
      </c>
      <c r="D933" s="75"/>
      <c r="E933" s="75"/>
      <c r="F933" s="75"/>
      <c r="G933" s="75"/>
      <c r="H933" s="75" t="s">
        <v>7</v>
      </c>
      <c r="I933" s="75"/>
      <c r="J933" s="75"/>
      <c r="K933" s="75"/>
      <c r="L933" s="77" t="s">
        <v>8</v>
      </c>
      <c r="M933" s="78"/>
      <c r="N933" s="78"/>
      <c r="O933" s="79"/>
      <c r="P933" s="77" t="s">
        <v>9</v>
      </c>
      <c r="Q933" s="78"/>
      <c r="R933" s="78"/>
      <c r="S933" s="78"/>
      <c r="T933" s="79"/>
      <c r="U933" s="75" t="s">
        <v>10</v>
      </c>
      <c r="V933" s="75"/>
      <c r="W933" s="75"/>
      <c r="X933" s="75"/>
      <c r="Y933" s="75"/>
      <c r="Z933" s="75" t="s">
        <v>11</v>
      </c>
      <c r="AA933" s="75"/>
      <c r="AB933" s="75"/>
      <c r="AC933" s="75"/>
    </row>
    <row r="934" spans="1:29" ht="18" x14ac:dyDescent="0.2">
      <c r="A934" s="23" t="s">
        <v>1</v>
      </c>
      <c r="B934" s="24" t="s">
        <v>3</v>
      </c>
      <c r="C934" s="28" t="str">
        <f t="shared" ref="C934:AC934" si="60">C874</f>
        <v>1-5</v>
      </c>
      <c r="D934" s="28" t="str">
        <f t="shared" si="60"/>
        <v>6-12</v>
      </c>
      <c r="E934" s="28" t="str">
        <f t="shared" si="60"/>
        <v>13-19</v>
      </c>
      <c r="F934" s="28" t="str">
        <f t="shared" si="60"/>
        <v>20-26</v>
      </c>
      <c r="G934" s="28" t="str">
        <f t="shared" si="60"/>
        <v>27-31</v>
      </c>
      <c r="H934" s="28" t="str">
        <f t="shared" si="60"/>
        <v>1-9</v>
      </c>
      <c r="I934" s="28" t="str">
        <f t="shared" si="60"/>
        <v>10-16</v>
      </c>
      <c r="J934" s="28" t="str">
        <f t="shared" si="60"/>
        <v>17-23</v>
      </c>
      <c r="K934" s="28" t="str">
        <f t="shared" si="60"/>
        <v>24-28</v>
      </c>
      <c r="L934" s="28" t="str">
        <f t="shared" si="60"/>
        <v>1-9</v>
      </c>
      <c r="M934" s="28" t="str">
        <f t="shared" si="60"/>
        <v>10-16</v>
      </c>
      <c r="N934" s="28" t="str">
        <f t="shared" si="60"/>
        <v>17-23</v>
      </c>
      <c r="O934" s="28" t="str">
        <f t="shared" si="60"/>
        <v>24-31</v>
      </c>
      <c r="P934" s="28" t="str">
        <f t="shared" si="60"/>
        <v>1-6</v>
      </c>
      <c r="Q934" s="28" t="str">
        <f t="shared" si="60"/>
        <v>7-13</v>
      </c>
      <c r="R934" s="28" t="str">
        <f t="shared" si="60"/>
        <v>14-20</v>
      </c>
      <c r="S934" s="28" t="str">
        <f t="shared" si="60"/>
        <v>21-27</v>
      </c>
      <c r="T934" s="28" t="str">
        <f t="shared" si="60"/>
        <v>28-30</v>
      </c>
      <c r="U934" s="28" t="str">
        <f t="shared" si="60"/>
        <v>1-4</v>
      </c>
      <c r="V934" s="28" t="str">
        <f t="shared" si="60"/>
        <v>5-11</v>
      </c>
      <c r="W934" s="28" t="str">
        <f t="shared" si="60"/>
        <v>12-18</v>
      </c>
      <c r="X934" s="28" t="str">
        <f t="shared" si="60"/>
        <v>19-25</v>
      </c>
      <c r="Y934" s="28" t="str">
        <f t="shared" si="60"/>
        <v>26-31</v>
      </c>
      <c r="Z934" s="28" t="str">
        <f t="shared" si="60"/>
        <v>1-8</v>
      </c>
      <c r="AA934" s="28" t="str">
        <f t="shared" si="60"/>
        <v>9-15</v>
      </c>
      <c r="AB934" s="28" t="str">
        <f t="shared" si="60"/>
        <v>16-22</v>
      </c>
      <c r="AC934" s="28" t="str">
        <f t="shared" si="60"/>
        <v>23-30</v>
      </c>
    </row>
    <row r="935" spans="1:29" ht="18" x14ac:dyDescent="0.2">
      <c r="A935" s="25"/>
      <c r="B935" s="26" t="s">
        <v>4</v>
      </c>
      <c r="C935" s="22" t="s">
        <v>12</v>
      </c>
      <c r="D935" s="22" t="s">
        <v>12</v>
      </c>
      <c r="E935" s="22" t="s">
        <v>12</v>
      </c>
      <c r="F935" s="22" t="s">
        <v>12</v>
      </c>
      <c r="G935" s="22" t="s">
        <v>12</v>
      </c>
      <c r="H935" s="22" t="s">
        <v>12</v>
      </c>
      <c r="I935" s="22" t="s">
        <v>12</v>
      </c>
      <c r="J935" s="22" t="s">
        <v>12</v>
      </c>
      <c r="K935" s="22" t="s">
        <v>12</v>
      </c>
      <c r="L935" s="22" t="s">
        <v>12</v>
      </c>
      <c r="M935" s="22" t="s">
        <v>12</v>
      </c>
      <c r="N935" s="22" t="s">
        <v>12</v>
      </c>
      <c r="O935" s="22" t="s">
        <v>12</v>
      </c>
      <c r="P935" s="22" t="s">
        <v>12</v>
      </c>
      <c r="Q935" s="22" t="s">
        <v>12</v>
      </c>
      <c r="R935" s="22" t="s">
        <v>12</v>
      </c>
      <c r="S935" s="22" t="s">
        <v>12</v>
      </c>
      <c r="T935" s="22" t="s">
        <v>12</v>
      </c>
      <c r="U935" s="22" t="s">
        <v>12</v>
      </c>
      <c r="V935" s="22" t="s">
        <v>12</v>
      </c>
      <c r="W935" s="22" t="s">
        <v>12</v>
      </c>
      <c r="X935" s="22" t="s">
        <v>12</v>
      </c>
      <c r="Y935" s="22" t="s">
        <v>12</v>
      </c>
      <c r="Z935" s="22" t="s">
        <v>12</v>
      </c>
      <c r="AA935" s="22" t="s">
        <v>12</v>
      </c>
      <c r="AB935" s="22" t="s">
        <v>12</v>
      </c>
      <c r="AC935" s="22" t="s">
        <v>12</v>
      </c>
    </row>
    <row r="936" spans="1:29" ht="18.75" customHeight="1" x14ac:dyDescent="0.2">
      <c r="A936" s="70" t="s">
        <v>288</v>
      </c>
      <c r="B936" s="27" t="s">
        <v>5</v>
      </c>
      <c r="C936" s="28"/>
      <c r="D936" s="28"/>
      <c r="E936" s="28"/>
      <c r="F936" s="28"/>
      <c r="G936" s="29"/>
      <c r="H936" s="28"/>
      <c r="I936" s="28"/>
      <c r="J936" s="28"/>
      <c r="K936" s="29"/>
      <c r="L936" s="28"/>
      <c r="M936" s="28"/>
      <c r="N936" s="28"/>
      <c r="O936" s="28"/>
      <c r="P936" s="29"/>
      <c r="Q936" s="28"/>
      <c r="R936" s="28"/>
      <c r="S936" s="28"/>
      <c r="T936" s="29"/>
      <c r="U936" s="28"/>
      <c r="V936" s="28"/>
      <c r="W936" s="28"/>
      <c r="X936" s="28"/>
      <c r="Y936" s="29"/>
      <c r="Z936" s="28"/>
      <c r="AA936" s="28"/>
      <c r="AB936" s="22" t="s">
        <v>60</v>
      </c>
      <c r="AC936" s="29"/>
    </row>
    <row r="937" spans="1:29" ht="18" x14ac:dyDescent="0.2">
      <c r="A937" s="70"/>
      <c r="B937" s="27" t="s">
        <v>6</v>
      </c>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row>
    <row r="938" spans="1:29" ht="18" x14ac:dyDescent="0.2">
      <c r="A938" s="70"/>
      <c r="B938" s="27" t="s">
        <v>3</v>
      </c>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row>
    <row r="939" spans="1:29" ht="18.75" customHeight="1" x14ac:dyDescent="0.2">
      <c r="A939" s="70" t="s">
        <v>289</v>
      </c>
      <c r="B939" s="27" t="s">
        <v>5</v>
      </c>
      <c r="C939" s="35"/>
      <c r="D939" s="28"/>
      <c r="E939" s="35"/>
      <c r="F939" s="35"/>
      <c r="G939" s="29"/>
      <c r="H939" s="28"/>
      <c r="I939" s="28"/>
      <c r="J939" s="28"/>
      <c r="K939" s="29"/>
      <c r="L939" s="28"/>
      <c r="M939" s="28"/>
      <c r="N939" s="28"/>
      <c r="O939" s="28"/>
      <c r="P939" s="29"/>
      <c r="Q939" s="28"/>
      <c r="R939" s="28"/>
      <c r="S939" s="28"/>
      <c r="T939" s="29"/>
      <c r="U939" s="28"/>
      <c r="V939" s="28"/>
      <c r="W939" s="28"/>
      <c r="X939" s="28"/>
      <c r="Y939" s="29"/>
      <c r="Z939" s="28"/>
      <c r="AA939" s="28"/>
      <c r="AB939" s="22" t="s">
        <v>60</v>
      </c>
      <c r="AC939" s="29"/>
    </row>
    <row r="940" spans="1:29" ht="18" x14ac:dyDescent="0.2">
      <c r="A940" s="70"/>
      <c r="B940" s="27" t="s">
        <v>6</v>
      </c>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row>
    <row r="941" spans="1:29" ht="18" x14ac:dyDescent="0.2">
      <c r="A941" s="70"/>
      <c r="B941" s="27" t="s">
        <v>3</v>
      </c>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row>
    <row r="942" spans="1:29" ht="18.75" customHeight="1" x14ac:dyDescent="0.2">
      <c r="A942" s="70"/>
      <c r="B942" s="27" t="s">
        <v>5</v>
      </c>
      <c r="C942" s="28"/>
      <c r="D942" s="28"/>
      <c r="E942" s="28"/>
      <c r="F942" s="28"/>
      <c r="G942" s="28"/>
      <c r="H942" s="28"/>
      <c r="I942" s="28"/>
      <c r="J942" s="28"/>
      <c r="K942" s="28"/>
      <c r="L942" s="28"/>
      <c r="M942" s="28"/>
      <c r="N942" s="28"/>
      <c r="O942" s="28"/>
      <c r="P942" s="28"/>
      <c r="Q942" s="28"/>
      <c r="R942" s="28"/>
      <c r="S942" s="28"/>
      <c r="T942" s="29"/>
      <c r="U942" s="29"/>
      <c r="V942" s="28"/>
      <c r="W942" s="28"/>
      <c r="X942" s="28"/>
      <c r="Y942" s="28"/>
      <c r="Z942" s="28"/>
      <c r="AA942" s="28"/>
      <c r="AB942" s="22"/>
      <c r="AC942" s="28"/>
    </row>
    <row r="943" spans="1:29" ht="18" x14ac:dyDescent="0.2">
      <c r="A943" s="70"/>
      <c r="B943" s="27" t="s">
        <v>6</v>
      </c>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row>
    <row r="944" spans="1:29" ht="18" x14ac:dyDescent="0.2">
      <c r="A944" s="70"/>
      <c r="B944" s="27" t="s">
        <v>3</v>
      </c>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row>
    <row r="945" spans="1:29" ht="18" x14ac:dyDescent="0.2">
      <c r="A945" s="20" t="s">
        <v>0</v>
      </c>
      <c r="B945" s="21" t="s">
        <v>2</v>
      </c>
      <c r="C945" s="76" t="s">
        <v>13</v>
      </c>
      <c r="D945" s="76"/>
      <c r="E945" s="76"/>
      <c r="F945" s="76"/>
      <c r="G945" s="76"/>
      <c r="H945" s="76" t="s">
        <v>14</v>
      </c>
      <c r="I945" s="76"/>
      <c r="J945" s="76"/>
      <c r="K945" s="76"/>
      <c r="L945" s="76" t="s">
        <v>15</v>
      </c>
      <c r="M945" s="76"/>
      <c r="N945" s="76"/>
      <c r="O945" s="76"/>
      <c r="P945" s="76" t="s">
        <v>16</v>
      </c>
      <c r="Q945" s="76"/>
      <c r="R945" s="76"/>
      <c r="S945" s="76"/>
      <c r="T945" s="76"/>
      <c r="U945" s="76" t="s">
        <v>17</v>
      </c>
      <c r="V945" s="76"/>
      <c r="W945" s="76"/>
      <c r="X945" s="76"/>
      <c r="Y945" s="76" t="s">
        <v>18</v>
      </c>
      <c r="Z945" s="76"/>
      <c r="AA945" s="76"/>
      <c r="AB945" s="76"/>
      <c r="AC945" s="76"/>
    </row>
    <row r="946" spans="1:29" ht="18" x14ac:dyDescent="0.2">
      <c r="A946" s="20" t="s">
        <v>1</v>
      </c>
      <c r="B946" s="24" t="s">
        <v>3</v>
      </c>
      <c r="C946" s="35" t="str">
        <f t="shared" ref="C946:AC946" si="61">C826</f>
        <v>1-6</v>
      </c>
      <c r="D946" s="35" t="str">
        <f t="shared" si="61"/>
        <v>7-13</v>
      </c>
      <c r="E946" s="35" t="str">
        <f t="shared" si="61"/>
        <v>14-20</v>
      </c>
      <c r="F946" s="35" t="str">
        <f t="shared" si="61"/>
        <v>21-27</v>
      </c>
      <c r="G946" s="35" t="str">
        <f t="shared" si="61"/>
        <v>28-31</v>
      </c>
      <c r="H946" s="35" t="str">
        <f t="shared" si="61"/>
        <v>1-10</v>
      </c>
      <c r="I946" s="35" t="str">
        <f t="shared" si="61"/>
        <v>11-17</v>
      </c>
      <c r="J946" s="35" t="str">
        <f t="shared" si="61"/>
        <v>18-24</v>
      </c>
      <c r="K946" s="35" t="str">
        <f t="shared" si="61"/>
        <v>25-31</v>
      </c>
      <c r="L946" s="35" t="str">
        <f t="shared" si="61"/>
        <v>1-7</v>
      </c>
      <c r="M946" s="35" t="str">
        <f t="shared" si="61"/>
        <v>8-14</v>
      </c>
      <c r="N946" s="35" t="str">
        <f t="shared" si="61"/>
        <v>15-21</v>
      </c>
      <c r="O946" s="35" t="str">
        <f t="shared" si="61"/>
        <v>22-30</v>
      </c>
      <c r="P946" s="35" t="str">
        <f t="shared" si="61"/>
        <v>1-5</v>
      </c>
      <c r="Q946" s="35" t="str">
        <f t="shared" si="61"/>
        <v>6-12</v>
      </c>
      <c r="R946" s="35" t="str">
        <f t="shared" si="61"/>
        <v>13-19</v>
      </c>
      <c r="S946" s="35" t="str">
        <f t="shared" si="61"/>
        <v>20-26</v>
      </c>
      <c r="T946" s="35" t="str">
        <f t="shared" si="61"/>
        <v>27-31</v>
      </c>
      <c r="U946" s="35" t="str">
        <f t="shared" si="61"/>
        <v>1-9</v>
      </c>
      <c r="V946" s="35" t="str">
        <f t="shared" si="61"/>
        <v>10-16</v>
      </c>
      <c r="W946" s="35" t="str">
        <f t="shared" si="61"/>
        <v>17-23</v>
      </c>
      <c r="X946" s="35" t="str">
        <f t="shared" si="61"/>
        <v>24-30</v>
      </c>
      <c r="Y946" s="35" t="str">
        <f t="shared" si="61"/>
        <v>1-7</v>
      </c>
      <c r="Z946" s="35" t="str">
        <f t="shared" si="61"/>
        <v>8-14</v>
      </c>
      <c r="AA946" s="35" t="str">
        <f t="shared" si="61"/>
        <v>15-21</v>
      </c>
      <c r="AB946" s="35" t="str">
        <f t="shared" si="61"/>
        <v>22-28</v>
      </c>
      <c r="AC946" s="35" t="str">
        <f t="shared" si="61"/>
        <v>29-31</v>
      </c>
    </row>
    <row r="947" spans="1:29" ht="18" x14ac:dyDescent="0.2">
      <c r="A947" s="34"/>
      <c r="B947" s="26" t="s">
        <v>4</v>
      </c>
      <c r="C947" s="22" t="s">
        <v>12</v>
      </c>
      <c r="D947" s="22" t="s">
        <v>12</v>
      </c>
      <c r="E947" s="22" t="s">
        <v>12</v>
      </c>
      <c r="F947" s="22" t="s">
        <v>12</v>
      </c>
      <c r="G947" s="22" t="s">
        <v>12</v>
      </c>
      <c r="H947" s="22" t="s">
        <v>12</v>
      </c>
      <c r="I947" s="22" t="s">
        <v>12</v>
      </c>
      <c r="J947" s="22" t="s">
        <v>12</v>
      </c>
      <c r="K947" s="22" t="s">
        <v>12</v>
      </c>
      <c r="L947" s="22" t="s">
        <v>12</v>
      </c>
      <c r="M947" s="22" t="s">
        <v>12</v>
      </c>
      <c r="N947" s="22" t="s">
        <v>12</v>
      </c>
      <c r="O947" s="22" t="s">
        <v>12</v>
      </c>
      <c r="P947" s="22" t="s">
        <v>12</v>
      </c>
      <c r="Q947" s="22" t="s">
        <v>12</v>
      </c>
      <c r="R947" s="22" t="s">
        <v>12</v>
      </c>
      <c r="S947" s="22" t="s">
        <v>12</v>
      </c>
      <c r="T947" s="22" t="s">
        <v>12</v>
      </c>
      <c r="U947" s="22" t="s">
        <v>12</v>
      </c>
      <c r="V947" s="22" t="s">
        <v>12</v>
      </c>
      <c r="W947" s="22" t="s">
        <v>12</v>
      </c>
      <c r="X947" s="22" t="s">
        <v>12</v>
      </c>
      <c r="Y947" s="22" t="s">
        <v>12</v>
      </c>
      <c r="Z947" s="22" t="s">
        <v>12</v>
      </c>
      <c r="AA947" s="22" t="s">
        <v>12</v>
      </c>
      <c r="AB947" s="22" t="s">
        <v>12</v>
      </c>
      <c r="AC947" s="22" t="s">
        <v>12</v>
      </c>
    </row>
    <row r="948" spans="1:29" ht="18.75" customHeight="1" x14ac:dyDescent="0.2">
      <c r="A948" s="70" t="s">
        <v>288</v>
      </c>
      <c r="B948" s="27" t="s">
        <v>5</v>
      </c>
      <c r="C948" s="28"/>
      <c r="D948" s="28"/>
      <c r="E948" s="28"/>
      <c r="F948" s="28"/>
      <c r="G948" s="29"/>
      <c r="H948" s="28"/>
      <c r="I948" s="28"/>
      <c r="J948" s="28"/>
      <c r="K948" s="29"/>
      <c r="L948" s="28"/>
      <c r="M948" s="28"/>
      <c r="N948" s="28"/>
      <c r="O948" s="29"/>
      <c r="P948" s="28"/>
      <c r="Q948" s="28"/>
      <c r="R948" s="28"/>
      <c r="S948" s="28"/>
      <c r="T948" s="29"/>
      <c r="U948" s="28"/>
      <c r="V948" s="28"/>
      <c r="W948" s="28"/>
      <c r="X948" s="29"/>
      <c r="Y948" s="28"/>
      <c r="Z948" s="28"/>
      <c r="AA948" s="28" t="s">
        <v>60</v>
      </c>
      <c r="AB948" s="22"/>
      <c r="AC948" s="22"/>
    </row>
    <row r="949" spans="1:29" ht="18" x14ac:dyDescent="0.2">
      <c r="A949" s="70"/>
      <c r="B949" s="27" t="s">
        <v>6</v>
      </c>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row>
    <row r="950" spans="1:29" ht="18" x14ac:dyDescent="0.2">
      <c r="A950" s="70"/>
      <c r="B950" s="27" t="s">
        <v>3</v>
      </c>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row>
    <row r="951" spans="1:29" ht="18.75" customHeight="1" x14ac:dyDescent="0.2">
      <c r="A951" s="70" t="s">
        <v>289</v>
      </c>
      <c r="B951" s="27" t="s">
        <v>5</v>
      </c>
      <c r="C951" s="29"/>
      <c r="D951" s="28"/>
      <c r="E951" s="28"/>
      <c r="F951" s="35"/>
      <c r="G951" s="28"/>
      <c r="H951" s="28"/>
      <c r="I951" s="28"/>
      <c r="J951" s="28"/>
      <c r="K951" s="28"/>
      <c r="L951" s="28"/>
      <c r="M951" s="28"/>
      <c r="N951" s="28"/>
      <c r="O951" s="28"/>
      <c r="P951" s="28"/>
      <c r="Q951" s="28"/>
      <c r="R951" s="28"/>
      <c r="S951" s="28"/>
      <c r="T951" s="28"/>
      <c r="U951" s="28"/>
      <c r="V951" s="28"/>
      <c r="W951" s="28"/>
      <c r="X951" s="29"/>
      <c r="Y951" s="28"/>
      <c r="Z951" s="28"/>
      <c r="AA951" s="28"/>
      <c r="AB951" s="22"/>
      <c r="AC951" s="28"/>
    </row>
    <row r="952" spans="1:29" ht="18" x14ac:dyDescent="0.2">
      <c r="A952" s="70"/>
      <c r="B952" s="27" t="s">
        <v>6</v>
      </c>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row>
    <row r="953" spans="1:29" ht="18" x14ac:dyDescent="0.2">
      <c r="A953" s="70"/>
      <c r="B953" s="27" t="s">
        <v>3</v>
      </c>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row>
    <row r="954" spans="1:29" ht="18.75" customHeight="1" x14ac:dyDescent="0.2">
      <c r="A954" s="70"/>
      <c r="B954" s="27" t="s">
        <v>5</v>
      </c>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2"/>
      <c r="AC954" s="29"/>
    </row>
    <row r="955" spans="1:29" ht="18" x14ac:dyDescent="0.2">
      <c r="A955" s="70"/>
      <c r="B955" s="27" t="s">
        <v>6</v>
      </c>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row>
    <row r="956" spans="1:29" ht="18" x14ac:dyDescent="0.2">
      <c r="A956" s="70"/>
      <c r="B956" s="27" t="s">
        <v>3</v>
      </c>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row>
    <row r="957" spans="1:29" ht="18" x14ac:dyDescent="0.4">
      <c r="A957" s="4" t="s">
        <v>219</v>
      </c>
      <c r="B957" s="4"/>
      <c r="C957" s="4"/>
      <c r="D957" s="4"/>
      <c r="E957" s="4"/>
      <c r="F957" s="4"/>
      <c r="G957" s="4"/>
      <c r="H957" s="4"/>
      <c r="I957" s="4"/>
      <c r="J957" s="4"/>
      <c r="K957" s="4"/>
      <c r="L957" s="4"/>
      <c r="M957" s="4"/>
      <c r="N957" s="4"/>
      <c r="O957" s="4"/>
      <c r="P957" s="4"/>
      <c r="Q957" s="4"/>
      <c r="R957" s="4"/>
      <c r="S957" s="4"/>
      <c r="T957" s="4"/>
      <c r="U957" s="4"/>
      <c r="V957" s="4"/>
      <c r="W957" s="71" t="s">
        <v>173</v>
      </c>
      <c r="X957" s="71"/>
      <c r="Y957" s="71"/>
      <c r="Z957" s="71"/>
      <c r="AA957" s="71"/>
      <c r="AB957" s="71"/>
      <c r="AC957" s="71"/>
    </row>
    <row r="958" spans="1:29" ht="18" x14ac:dyDescent="0.4">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spans="1:29" ht="18" x14ac:dyDescent="0.4">
      <c r="A959" s="9"/>
      <c r="B959" s="9"/>
      <c r="C959" s="9"/>
      <c r="D959" s="9"/>
      <c r="E959" s="9"/>
      <c r="F959" s="9"/>
      <c r="G959" s="9"/>
      <c r="H959" s="9"/>
      <c r="I959" s="9"/>
      <c r="J959" s="9"/>
      <c r="K959" s="9"/>
      <c r="L959" s="9"/>
      <c r="M959" s="9"/>
      <c r="N959" s="9"/>
      <c r="O959" s="9"/>
      <c r="P959" s="72" t="s">
        <v>28</v>
      </c>
      <c r="Q959" s="72"/>
      <c r="R959" s="73" t="str">
        <f>R929</f>
        <v>พีรวัส</v>
      </c>
      <c r="S959" s="73"/>
      <c r="T959" s="73"/>
      <c r="U959" s="72" t="s">
        <v>30</v>
      </c>
      <c r="V959" s="72"/>
      <c r="W959" s="73" t="str">
        <f>W929</f>
        <v>วรพงศ์</v>
      </c>
      <c r="X959" s="73"/>
      <c r="Y959" s="73"/>
      <c r="Z959" s="8" t="s">
        <v>29</v>
      </c>
      <c r="AA959" s="74">
        <f>AA929</f>
        <v>46021</v>
      </c>
      <c r="AB959" s="74"/>
      <c r="AC959" s="74"/>
    </row>
    <row r="960" spans="1:29" ht="18" x14ac:dyDescent="0.4">
      <c r="A960" s="4"/>
      <c r="B960" s="4"/>
      <c r="C960" s="4"/>
      <c r="D960" s="4"/>
      <c r="E960" s="4"/>
      <c r="F960" s="4"/>
      <c r="G960" s="4"/>
      <c r="H960" s="4"/>
      <c r="I960" s="4"/>
      <c r="J960" s="4"/>
      <c r="K960" s="4"/>
      <c r="L960" s="4"/>
      <c r="M960" s="4"/>
      <c r="N960" s="4"/>
      <c r="O960" s="4"/>
      <c r="P960" s="12"/>
      <c r="Q960" s="12"/>
      <c r="R960" s="10"/>
      <c r="S960" s="10"/>
      <c r="T960" s="10"/>
      <c r="U960" s="12"/>
      <c r="V960" s="12"/>
      <c r="W960" s="10"/>
      <c r="X960" s="10"/>
      <c r="Y960" s="10"/>
      <c r="Z960" s="12"/>
      <c r="AA960" s="13"/>
      <c r="AB960" s="13"/>
      <c r="AC960" s="13"/>
    </row>
    <row r="961" spans="1:29" ht="23.25" x14ac:dyDescent="0.5">
      <c r="A961" s="80" t="s">
        <v>26</v>
      </c>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c r="AA961" s="80"/>
      <c r="AB961" s="80"/>
      <c r="AC961" s="80"/>
    </row>
    <row r="962" spans="1:29" ht="21" x14ac:dyDescent="0.45">
      <c r="A962" s="6" t="s">
        <v>22</v>
      </c>
      <c r="B962" s="81" t="s">
        <v>323</v>
      </c>
      <c r="C962" s="81"/>
      <c r="D962" s="81"/>
      <c r="E962" s="81"/>
      <c r="F962" s="81"/>
      <c r="G962" s="81"/>
      <c r="H962" s="6" t="s">
        <v>24</v>
      </c>
      <c r="I962" s="82"/>
      <c r="J962" s="82"/>
      <c r="K962" s="82"/>
      <c r="L962" s="82"/>
      <c r="M962" s="83" t="s">
        <v>25</v>
      </c>
      <c r="N962" s="83"/>
      <c r="O962" s="88" t="s">
        <v>324</v>
      </c>
      <c r="P962" s="88"/>
      <c r="Q962" s="88"/>
      <c r="R962" s="88"/>
      <c r="S962" s="88"/>
      <c r="T962" s="6" t="s">
        <v>20</v>
      </c>
      <c r="U962" s="81">
        <f>$U$2</f>
        <v>2569</v>
      </c>
      <c r="V962" s="81"/>
      <c r="W962" s="83" t="s">
        <v>35</v>
      </c>
      <c r="X962" s="83"/>
      <c r="Y962" s="83"/>
      <c r="Z962" s="4" t="s">
        <v>325</v>
      </c>
      <c r="AA962" s="1"/>
      <c r="AB962" s="1"/>
      <c r="AC962" s="1"/>
    </row>
    <row r="963" spans="1:29" ht="18" x14ac:dyDescent="0.2">
      <c r="A963" s="20" t="s">
        <v>0</v>
      </c>
      <c r="B963" s="21" t="s">
        <v>2</v>
      </c>
      <c r="C963" s="75" t="s">
        <v>32</v>
      </c>
      <c r="D963" s="75"/>
      <c r="E963" s="75"/>
      <c r="F963" s="75"/>
      <c r="G963" s="75"/>
      <c r="H963" s="75" t="s">
        <v>7</v>
      </c>
      <c r="I963" s="75"/>
      <c r="J963" s="75"/>
      <c r="K963" s="75"/>
      <c r="L963" s="77" t="s">
        <v>8</v>
      </c>
      <c r="M963" s="78"/>
      <c r="N963" s="78"/>
      <c r="O963" s="79"/>
      <c r="P963" s="77" t="s">
        <v>9</v>
      </c>
      <c r="Q963" s="78"/>
      <c r="R963" s="78"/>
      <c r="S963" s="78"/>
      <c r="T963" s="79"/>
      <c r="U963" s="75" t="s">
        <v>10</v>
      </c>
      <c r="V963" s="75"/>
      <c r="W963" s="75"/>
      <c r="X963" s="75"/>
      <c r="Y963" s="75"/>
      <c r="Z963" s="75" t="s">
        <v>11</v>
      </c>
      <c r="AA963" s="75"/>
      <c r="AB963" s="75"/>
      <c r="AC963" s="75"/>
    </row>
    <row r="964" spans="1:29" ht="18" x14ac:dyDescent="0.2">
      <c r="A964" s="23" t="s">
        <v>1</v>
      </c>
      <c r="B964" s="24" t="s">
        <v>3</v>
      </c>
      <c r="C964" s="28" t="str">
        <f>C934</f>
        <v>1-5</v>
      </c>
      <c r="D964" s="28" t="str">
        <f t="shared" ref="D964:AC964" si="62">D934</f>
        <v>6-12</v>
      </c>
      <c r="E964" s="28" t="str">
        <f t="shared" si="62"/>
        <v>13-19</v>
      </c>
      <c r="F964" s="28" t="str">
        <f t="shared" si="62"/>
        <v>20-26</v>
      </c>
      <c r="G964" s="28" t="str">
        <f t="shared" si="62"/>
        <v>27-31</v>
      </c>
      <c r="H964" s="28" t="str">
        <f t="shared" si="62"/>
        <v>1-9</v>
      </c>
      <c r="I964" s="28" t="str">
        <f t="shared" si="62"/>
        <v>10-16</v>
      </c>
      <c r="J964" s="28" t="str">
        <f t="shared" si="62"/>
        <v>17-23</v>
      </c>
      <c r="K964" s="28" t="str">
        <f t="shared" si="62"/>
        <v>24-28</v>
      </c>
      <c r="L964" s="28" t="str">
        <f t="shared" si="62"/>
        <v>1-9</v>
      </c>
      <c r="M964" s="28" t="str">
        <f t="shared" si="62"/>
        <v>10-16</v>
      </c>
      <c r="N964" s="28" t="str">
        <f t="shared" si="62"/>
        <v>17-23</v>
      </c>
      <c r="O964" s="28" t="str">
        <f t="shared" si="62"/>
        <v>24-31</v>
      </c>
      <c r="P964" s="28" t="str">
        <f t="shared" si="62"/>
        <v>1-6</v>
      </c>
      <c r="Q964" s="28" t="str">
        <f t="shared" si="62"/>
        <v>7-13</v>
      </c>
      <c r="R964" s="28" t="str">
        <f t="shared" si="62"/>
        <v>14-20</v>
      </c>
      <c r="S964" s="28" t="str">
        <f t="shared" si="62"/>
        <v>21-27</v>
      </c>
      <c r="T964" s="28" t="str">
        <f t="shared" si="62"/>
        <v>28-30</v>
      </c>
      <c r="U964" s="28" t="str">
        <f t="shared" si="62"/>
        <v>1-4</v>
      </c>
      <c r="V964" s="28" t="str">
        <f t="shared" si="62"/>
        <v>5-11</v>
      </c>
      <c r="W964" s="28" t="str">
        <f t="shared" si="62"/>
        <v>12-18</v>
      </c>
      <c r="X964" s="28" t="str">
        <f t="shared" si="62"/>
        <v>19-25</v>
      </c>
      <c r="Y964" s="28" t="str">
        <f t="shared" si="62"/>
        <v>26-31</v>
      </c>
      <c r="Z964" s="28" t="str">
        <f t="shared" si="62"/>
        <v>1-8</v>
      </c>
      <c r="AA964" s="28" t="str">
        <f t="shared" si="62"/>
        <v>9-15</v>
      </c>
      <c r="AB964" s="28" t="str">
        <f t="shared" si="62"/>
        <v>16-22</v>
      </c>
      <c r="AC964" s="28" t="str">
        <f t="shared" si="62"/>
        <v>23-30</v>
      </c>
    </row>
    <row r="965" spans="1:29" ht="18" x14ac:dyDescent="0.2">
      <c r="A965" s="25"/>
      <c r="B965" s="26" t="s">
        <v>4</v>
      </c>
      <c r="C965" s="22" t="s">
        <v>12</v>
      </c>
      <c r="D965" s="22" t="s">
        <v>12</v>
      </c>
      <c r="E965" s="22" t="s">
        <v>12</v>
      </c>
      <c r="F965" s="22" t="s">
        <v>12</v>
      </c>
      <c r="G965" s="22" t="s">
        <v>12</v>
      </c>
      <c r="H965" s="22" t="s">
        <v>12</v>
      </c>
      <c r="I965" s="22" t="s">
        <v>12</v>
      </c>
      <c r="J965" s="22" t="s">
        <v>12</v>
      </c>
      <c r="K965" s="22" t="s">
        <v>12</v>
      </c>
      <c r="L965" s="22" t="s">
        <v>12</v>
      </c>
      <c r="M965" s="22" t="s">
        <v>12</v>
      </c>
      <c r="N965" s="22" t="s">
        <v>12</v>
      </c>
      <c r="O965" s="22" t="s">
        <v>12</v>
      </c>
      <c r="P965" s="22" t="s">
        <v>12</v>
      </c>
      <c r="Q965" s="22" t="s">
        <v>12</v>
      </c>
      <c r="R965" s="22" t="s">
        <v>12</v>
      </c>
      <c r="S965" s="22" t="s">
        <v>12</v>
      </c>
      <c r="T965" s="22" t="s">
        <v>12</v>
      </c>
      <c r="U965" s="22" t="s">
        <v>12</v>
      </c>
      <c r="V965" s="22" t="s">
        <v>12</v>
      </c>
      <c r="W965" s="22" t="s">
        <v>12</v>
      </c>
      <c r="X965" s="22" t="s">
        <v>12</v>
      </c>
      <c r="Y965" s="22" t="s">
        <v>12</v>
      </c>
      <c r="Z965" s="22" t="s">
        <v>12</v>
      </c>
      <c r="AA965" s="22" t="s">
        <v>12</v>
      </c>
      <c r="AB965" s="22" t="s">
        <v>12</v>
      </c>
      <c r="AC965" s="22" t="s">
        <v>12</v>
      </c>
    </row>
    <row r="966" spans="1:29" ht="18.75" customHeight="1" x14ac:dyDescent="0.2">
      <c r="A966" s="70" t="s">
        <v>326</v>
      </c>
      <c r="B966" s="27" t="s">
        <v>5</v>
      </c>
      <c r="C966" s="28" t="s">
        <v>60</v>
      </c>
      <c r="D966" s="28"/>
      <c r="E966" s="28"/>
      <c r="F966" s="28"/>
      <c r="G966" s="29"/>
      <c r="H966" s="28" t="s">
        <v>60</v>
      </c>
      <c r="I966" s="28"/>
      <c r="J966" s="28"/>
      <c r="K966" s="29"/>
      <c r="L966" s="28" t="s">
        <v>60</v>
      </c>
      <c r="M966" s="28"/>
      <c r="N966" s="28"/>
      <c r="O966" s="28"/>
      <c r="P966" s="28" t="s">
        <v>60</v>
      </c>
      <c r="Q966" s="28"/>
      <c r="R966" s="28"/>
      <c r="S966" s="28"/>
      <c r="T966" s="29"/>
      <c r="U966" s="28" t="s">
        <v>60</v>
      </c>
      <c r="V966" s="28"/>
      <c r="W966" s="28"/>
      <c r="X966" s="28"/>
      <c r="Y966" s="29"/>
      <c r="Z966" s="28" t="s">
        <v>60</v>
      </c>
      <c r="AA966" s="28"/>
      <c r="AB966" s="22"/>
      <c r="AC966" s="29"/>
    </row>
    <row r="967" spans="1:29" ht="18" x14ac:dyDescent="0.2">
      <c r="A967" s="70"/>
      <c r="B967" s="27" t="s">
        <v>6</v>
      </c>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row>
    <row r="968" spans="1:29" ht="18" x14ac:dyDescent="0.2">
      <c r="A968" s="70"/>
      <c r="B968" s="27" t="s">
        <v>3</v>
      </c>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row>
    <row r="969" spans="1:29" ht="18.75" customHeight="1" x14ac:dyDescent="0.2">
      <c r="A969" s="70"/>
      <c r="B969" s="27" t="s">
        <v>5</v>
      </c>
      <c r="C969" s="35"/>
      <c r="D969" s="28"/>
      <c r="E969" s="35"/>
      <c r="F969" s="35"/>
      <c r="G969" s="29"/>
      <c r="H969" s="28"/>
      <c r="I969" s="28"/>
      <c r="J969" s="28"/>
      <c r="K969" s="29"/>
      <c r="L969" s="28"/>
      <c r="M969" s="28"/>
      <c r="N969" s="28"/>
      <c r="O969" s="28"/>
      <c r="P969" s="29"/>
      <c r="Q969" s="28"/>
      <c r="R969" s="28"/>
      <c r="S969" s="28"/>
      <c r="T969" s="29"/>
      <c r="U969" s="28"/>
      <c r="V969" s="28"/>
      <c r="W969" s="28"/>
      <c r="X969" s="28"/>
      <c r="Y969" s="29"/>
      <c r="Z969" s="28"/>
      <c r="AA969" s="28"/>
      <c r="AB969" s="22"/>
      <c r="AC969" s="29"/>
    </row>
    <row r="970" spans="1:29" ht="18" x14ac:dyDescent="0.2">
      <c r="A970" s="70"/>
      <c r="B970" s="27" t="s">
        <v>6</v>
      </c>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row>
    <row r="971" spans="1:29" ht="18" x14ac:dyDescent="0.2">
      <c r="A971" s="70"/>
      <c r="B971" s="27" t="s">
        <v>3</v>
      </c>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row>
    <row r="972" spans="1:29" ht="18.75" customHeight="1" x14ac:dyDescent="0.2">
      <c r="A972" s="70"/>
      <c r="B972" s="27" t="s">
        <v>5</v>
      </c>
      <c r="C972" s="28"/>
      <c r="D972" s="28"/>
      <c r="E972" s="28"/>
      <c r="F972" s="28"/>
      <c r="G972" s="28"/>
      <c r="H972" s="28"/>
      <c r="I972" s="28"/>
      <c r="J972" s="28"/>
      <c r="K972" s="28"/>
      <c r="L972" s="28"/>
      <c r="M972" s="28"/>
      <c r="N972" s="28"/>
      <c r="O972" s="28"/>
      <c r="P972" s="28"/>
      <c r="Q972" s="28"/>
      <c r="R972" s="28"/>
      <c r="S972" s="28"/>
      <c r="T972" s="29"/>
      <c r="U972" s="29"/>
      <c r="V972" s="28"/>
      <c r="W972" s="28"/>
      <c r="X972" s="28"/>
      <c r="Y972" s="28"/>
      <c r="Z972" s="28"/>
      <c r="AA972" s="28"/>
      <c r="AB972" s="22"/>
      <c r="AC972" s="28"/>
    </row>
    <row r="973" spans="1:29" ht="18" x14ac:dyDescent="0.2">
      <c r="A973" s="70"/>
      <c r="B973" s="27" t="s">
        <v>6</v>
      </c>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row>
    <row r="974" spans="1:29" ht="18" x14ac:dyDescent="0.2">
      <c r="A974" s="70"/>
      <c r="B974" s="27" t="s">
        <v>3</v>
      </c>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row>
    <row r="975" spans="1:29" ht="18" x14ac:dyDescent="0.2">
      <c r="A975" s="20" t="s">
        <v>0</v>
      </c>
      <c r="B975" s="21" t="s">
        <v>2</v>
      </c>
      <c r="C975" s="76" t="s">
        <v>13</v>
      </c>
      <c r="D975" s="76"/>
      <c r="E975" s="76"/>
      <c r="F975" s="76"/>
      <c r="G975" s="76"/>
      <c r="H975" s="76" t="s">
        <v>14</v>
      </c>
      <c r="I975" s="76"/>
      <c r="J975" s="76"/>
      <c r="K975" s="76"/>
      <c r="L975" s="76" t="s">
        <v>15</v>
      </c>
      <c r="M975" s="76"/>
      <c r="N975" s="76"/>
      <c r="O975" s="76"/>
      <c r="P975" s="76" t="s">
        <v>16</v>
      </c>
      <c r="Q975" s="76"/>
      <c r="R975" s="76"/>
      <c r="S975" s="76"/>
      <c r="T975" s="76"/>
      <c r="U975" s="76" t="s">
        <v>17</v>
      </c>
      <c r="V975" s="76"/>
      <c r="W975" s="76"/>
      <c r="X975" s="76"/>
      <c r="Y975" s="76" t="s">
        <v>18</v>
      </c>
      <c r="Z975" s="76"/>
      <c r="AA975" s="76"/>
      <c r="AB975" s="76"/>
      <c r="AC975" s="76"/>
    </row>
    <row r="976" spans="1:29" ht="18" x14ac:dyDescent="0.2">
      <c r="A976" s="20" t="s">
        <v>1</v>
      </c>
      <c r="B976" s="24" t="s">
        <v>3</v>
      </c>
      <c r="C976" s="35" t="str">
        <f>C946</f>
        <v>1-6</v>
      </c>
      <c r="D976" s="35" t="str">
        <f t="shared" ref="D976:AC976" si="63">D946</f>
        <v>7-13</v>
      </c>
      <c r="E976" s="35" t="str">
        <f t="shared" si="63"/>
        <v>14-20</v>
      </c>
      <c r="F976" s="35" t="str">
        <f t="shared" si="63"/>
        <v>21-27</v>
      </c>
      <c r="G976" s="35" t="str">
        <f t="shared" si="63"/>
        <v>28-31</v>
      </c>
      <c r="H976" s="35" t="str">
        <f t="shared" si="63"/>
        <v>1-10</v>
      </c>
      <c r="I976" s="35" t="str">
        <f t="shared" si="63"/>
        <v>11-17</v>
      </c>
      <c r="J976" s="35" t="str">
        <f t="shared" si="63"/>
        <v>18-24</v>
      </c>
      <c r="K976" s="35" t="str">
        <f t="shared" si="63"/>
        <v>25-31</v>
      </c>
      <c r="L976" s="35" t="str">
        <f t="shared" si="63"/>
        <v>1-7</v>
      </c>
      <c r="M976" s="35" t="str">
        <f t="shared" si="63"/>
        <v>8-14</v>
      </c>
      <c r="N976" s="35" t="str">
        <f t="shared" si="63"/>
        <v>15-21</v>
      </c>
      <c r="O976" s="35" t="str">
        <f t="shared" si="63"/>
        <v>22-30</v>
      </c>
      <c r="P976" s="35" t="str">
        <f t="shared" si="63"/>
        <v>1-5</v>
      </c>
      <c r="Q976" s="35" t="str">
        <f t="shared" si="63"/>
        <v>6-12</v>
      </c>
      <c r="R976" s="35" t="str">
        <f t="shared" si="63"/>
        <v>13-19</v>
      </c>
      <c r="S976" s="35" t="str">
        <f t="shared" si="63"/>
        <v>20-26</v>
      </c>
      <c r="T976" s="35" t="str">
        <f t="shared" si="63"/>
        <v>27-31</v>
      </c>
      <c r="U976" s="35" t="str">
        <f t="shared" si="63"/>
        <v>1-9</v>
      </c>
      <c r="V976" s="35" t="str">
        <f t="shared" si="63"/>
        <v>10-16</v>
      </c>
      <c r="W976" s="35" t="str">
        <f t="shared" si="63"/>
        <v>17-23</v>
      </c>
      <c r="X976" s="35" t="str">
        <f t="shared" si="63"/>
        <v>24-30</v>
      </c>
      <c r="Y976" s="35" t="str">
        <f t="shared" si="63"/>
        <v>1-7</v>
      </c>
      <c r="Z976" s="35" t="str">
        <f t="shared" si="63"/>
        <v>8-14</v>
      </c>
      <c r="AA976" s="35" t="str">
        <f t="shared" si="63"/>
        <v>15-21</v>
      </c>
      <c r="AB976" s="35" t="str">
        <f t="shared" si="63"/>
        <v>22-28</v>
      </c>
      <c r="AC976" s="35" t="str">
        <f t="shared" si="63"/>
        <v>29-31</v>
      </c>
    </row>
    <row r="977" spans="1:29" ht="18" x14ac:dyDescent="0.2">
      <c r="A977" s="34"/>
      <c r="B977" s="26" t="s">
        <v>4</v>
      </c>
      <c r="C977" s="22" t="s">
        <v>12</v>
      </c>
      <c r="D977" s="22" t="s">
        <v>12</v>
      </c>
      <c r="E977" s="22" t="s">
        <v>12</v>
      </c>
      <c r="F977" s="22" t="s">
        <v>12</v>
      </c>
      <c r="G977" s="22" t="s">
        <v>12</v>
      </c>
      <c r="H977" s="22" t="s">
        <v>12</v>
      </c>
      <c r="I977" s="22" t="s">
        <v>12</v>
      </c>
      <c r="J977" s="22" t="s">
        <v>12</v>
      </c>
      <c r="K977" s="22" t="s">
        <v>12</v>
      </c>
      <c r="L977" s="22" t="s">
        <v>12</v>
      </c>
      <c r="M977" s="22" t="s">
        <v>12</v>
      </c>
      <c r="N977" s="22" t="s">
        <v>12</v>
      </c>
      <c r="O977" s="22" t="s">
        <v>12</v>
      </c>
      <c r="P977" s="22" t="s">
        <v>12</v>
      </c>
      <c r="Q977" s="22" t="s">
        <v>12</v>
      </c>
      <c r="R977" s="22" t="s">
        <v>12</v>
      </c>
      <c r="S977" s="22" t="s">
        <v>12</v>
      </c>
      <c r="T977" s="22" t="s">
        <v>12</v>
      </c>
      <c r="U977" s="22" t="s">
        <v>12</v>
      </c>
      <c r="V977" s="22" t="s">
        <v>12</v>
      </c>
      <c r="W977" s="22" t="s">
        <v>12</v>
      </c>
      <c r="X977" s="22" t="s">
        <v>12</v>
      </c>
      <c r="Y977" s="22" t="s">
        <v>12</v>
      </c>
      <c r="Z977" s="22" t="s">
        <v>12</v>
      </c>
      <c r="AA977" s="22" t="s">
        <v>12</v>
      </c>
      <c r="AB977" s="22" t="s">
        <v>12</v>
      </c>
      <c r="AC977" s="22" t="s">
        <v>12</v>
      </c>
    </row>
    <row r="978" spans="1:29" ht="18.75" customHeight="1" x14ac:dyDescent="0.2">
      <c r="A978" s="70" t="s">
        <v>326</v>
      </c>
      <c r="B978" s="27" t="s">
        <v>5</v>
      </c>
      <c r="C978" s="28" t="s">
        <v>60</v>
      </c>
      <c r="D978" s="28"/>
      <c r="E978" s="28"/>
      <c r="F978" s="28"/>
      <c r="G978" s="29"/>
      <c r="H978" s="28" t="s">
        <v>60</v>
      </c>
      <c r="I978" s="28"/>
      <c r="J978" s="28"/>
      <c r="K978" s="29"/>
      <c r="L978" s="28" t="s">
        <v>60</v>
      </c>
      <c r="M978" s="28"/>
      <c r="N978" s="28"/>
      <c r="O978" s="29"/>
      <c r="P978" s="28" t="s">
        <v>60</v>
      </c>
      <c r="Q978" s="28"/>
      <c r="R978" s="28"/>
      <c r="S978" s="28"/>
      <c r="T978" s="29"/>
      <c r="U978" s="28" t="s">
        <v>60</v>
      </c>
      <c r="V978" s="28"/>
      <c r="W978" s="28"/>
      <c r="X978" s="29"/>
      <c r="Y978" s="28" t="s">
        <v>60</v>
      </c>
      <c r="Z978" s="28"/>
      <c r="AA978" s="28"/>
      <c r="AB978" s="22"/>
      <c r="AC978" s="22"/>
    </row>
    <row r="979" spans="1:29" ht="18" x14ac:dyDescent="0.2">
      <c r="A979" s="70"/>
      <c r="B979" s="27" t="s">
        <v>6</v>
      </c>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row>
    <row r="980" spans="1:29" ht="18" x14ac:dyDescent="0.2">
      <c r="A980" s="70"/>
      <c r="B980" s="27" t="s">
        <v>3</v>
      </c>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row>
    <row r="981" spans="1:29" ht="18.75" customHeight="1" x14ac:dyDescent="0.2">
      <c r="A981" s="70"/>
      <c r="B981" s="27" t="s">
        <v>5</v>
      </c>
      <c r="C981" s="29"/>
      <c r="D981" s="28"/>
      <c r="E981" s="28"/>
      <c r="F981" s="35"/>
      <c r="G981" s="28"/>
      <c r="H981" s="28"/>
      <c r="I981" s="28"/>
      <c r="J981" s="28"/>
      <c r="K981" s="28"/>
      <c r="L981" s="28"/>
      <c r="M981" s="28"/>
      <c r="N981" s="28"/>
      <c r="O981" s="28"/>
      <c r="P981" s="28"/>
      <c r="Q981" s="28"/>
      <c r="R981" s="28"/>
      <c r="S981" s="28"/>
      <c r="T981" s="28"/>
      <c r="U981" s="28"/>
      <c r="V981" s="28"/>
      <c r="W981" s="28"/>
      <c r="X981" s="29"/>
      <c r="Y981" s="28"/>
      <c r="Z981" s="28"/>
      <c r="AA981" s="28"/>
      <c r="AB981" s="22"/>
      <c r="AC981" s="28"/>
    </row>
    <row r="982" spans="1:29" ht="18" x14ac:dyDescent="0.2">
      <c r="A982" s="70"/>
      <c r="B982" s="27" t="s">
        <v>6</v>
      </c>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row>
    <row r="983" spans="1:29" ht="18" x14ac:dyDescent="0.2">
      <c r="A983" s="70"/>
      <c r="B983" s="27" t="s">
        <v>3</v>
      </c>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row>
    <row r="984" spans="1:29" ht="18.75" customHeight="1" x14ac:dyDescent="0.2">
      <c r="A984" s="70"/>
      <c r="B984" s="27" t="s">
        <v>5</v>
      </c>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2"/>
      <c r="AC984" s="29"/>
    </row>
    <row r="985" spans="1:29" ht="18" x14ac:dyDescent="0.2">
      <c r="A985" s="70"/>
      <c r="B985" s="27" t="s">
        <v>6</v>
      </c>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row>
    <row r="986" spans="1:29" ht="18" x14ac:dyDescent="0.2">
      <c r="A986" s="70"/>
      <c r="B986" s="27" t="s">
        <v>3</v>
      </c>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row>
    <row r="987" spans="1:29" ht="18" x14ac:dyDescent="0.4">
      <c r="A987" s="4" t="s">
        <v>219</v>
      </c>
      <c r="B987" s="4"/>
      <c r="C987" s="4"/>
      <c r="D987" s="4"/>
      <c r="E987" s="4"/>
      <c r="F987" s="4"/>
      <c r="G987" s="4"/>
      <c r="H987" s="4"/>
      <c r="I987" s="4"/>
      <c r="J987" s="4"/>
      <c r="K987" s="4"/>
      <c r="L987" s="4"/>
      <c r="M987" s="4"/>
      <c r="N987" s="4"/>
      <c r="O987" s="4"/>
      <c r="P987" s="4"/>
      <c r="Q987" s="4"/>
      <c r="R987" s="4"/>
      <c r="S987" s="4"/>
      <c r="T987" s="4"/>
      <c r="U987" s="4"/>
      <c r="V987" s="4"/>
      <c r="W987" s="71" t="s">
        <v>173</v>
      </c>
      <c r="X987" s="71"/>
      <c r="Y987" s="71"/>
      <c r="Z987" s="71"/>
      <c r="AA987" s="71"/>
      <c r="AB987" s="71"/>
      <c r="AC987" s="71"/>
    </row>
    <row r="988" spans="1:29" ht="18" x14ac:dyDescent="0.4">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spans="1:29" ht="18" x14ac:dyDescent="0.4">
      <c r="A989" s="9"/>
      <c r="B989" s="9"/>
      <c r="C989" s="9"/>
      <c r="D989" s="9"/>
      <c r="E989" s="9"/>
      <c r="F989" s="9"/>
      <c r="G989" s="9"/>
      <c r="H989" s="9"/>
      <c r="I989" s="9"/>
      <c r="J989" s="9"/>
      <c r="K989" s="9"/>
      <c r="L989" s="9"/>
      <c r="M989" s="9"/>
      <c r="N989" s="9"/>
      <c r="O989" s="9"/>
      <c r="P989" s="72" t="s">
        <v>28</v>
      </c>
      <c r="Q989" s="72"/>
      <c r="R989" s="73">
        <f>R958</f>
        <v>0</v>
      </c>
      <c r="S989" s="73"/>
      <c r="T989" s="73"/>
      <c r="U989" s="72" t="s">
        <v>30</v>
      </c>
      <c r="V989" s="72"/>
      <c r="W989" s="73">
        <f>W958</f>
        <v>0</v>
      </c>
      <c r="X989" s="73"/>
      <c r="Y989" s="73"/>
      <c r="Z989" s="8" t="s">
        <v>29</v>
      </c>
      <c r="AA989" s="74">
        <f>AA958</f>
        <v>0</v>
      </c>
      <c r="AB989" s="74"/>
      <c r="AC989" s="74"/>
    </row>
  </sheetData>
  <mergeCells count="1023">
    <mergeCell ref="O302:S302"/>
    <mergeCell ref="U302:V302"/>
    <mergeCell ref="L303:O303"/>
    <mergeCell ref="P303:T303"/>
    <mergeCell ref="R299:T299"/>
    <mergeCell ref="U299:V299"/>
    <mergeCell ref="W299:Y299"/>
    <mergeCell ref="AA299:AC299"/>
    <mergeCell ref="P345:T345"/>
    <mergeCell ref="U345:X345"/>
    <mergeCell ref="Y345:AC345"/>
    <mergeCell ref="C435:G435"/>
    <mergeCell ref="Z393:AC393"/>
    <mergeCell ref="A396:A398"/>
    <mergeCell ref="A399:A401"/>
    <mergeCell ref="A318:A320"/>
    <mergeCell ref="A321:A323"/>
    <mergeCell ref="A324:A326"/>
    <mergeCell ref="U359:V359"/>
    <mergeCell ref="W359:Y359"/>
    <mergeCell ref="W362:Y362"/>
    <mergeCell ref="C363:G363"/>
    <mergeCell ref="H363:K363"/>
    <mergeCell ref="B422:G422"/>
    <mergeCell ref="L405:O405"/>
    <mergeCell ref="U329:V329"/>
    <mergeCell ref="W329:Y329"/>
    <mergeCell ref="AA329:AC329"/>
    <mergeCell ref="U659:V659"/>
    <mergeCell ref="A366:A368"/>
    <mergeCell ref="AA479:AC479"/>
    <mergeCell ref="A481:AC481"/>
    <mergeCell ref="B482:G482"/>
    <mergeCell ref="I482:L482"/>
    <mergeCell ref="AA449:AC449"/>
    <mergeCell ref="C345:G345"/>
    <mergeCell ref="C513:G513"/>
    <mergeCell ref="H513:K513"/>
    <mergeCell ref="U513:Y513"/>
    <mergeCell ref="U482:V482"/>
    <mergeCell ref="W482:Y482"/>
    <mergeCell ref="U363:Y363"/>
    <mergeCell ref="Z363:AC363"/>
    <mergeCell ref="C375:G375"/>
    <mergeCell ref="H375:K375"/>
    <mergeCell ref="L375:O375"/>
    <mergeCell ref="P375:T375"/>
    <mergeCell ref="U375:X375"/>
    <mergeCell ref="A421:AC421"/>
    <mergeCell ref="M482:N482"/>
    <mergeCell ref="O482:S482"/>
    <mergeCell ref="H573:K573"/>
    <mergeCell ref="M392:N392"/>
    <mergeCell ref="L483:O483"/>
    <mergeCell ref="P483:T483"/>
    <mergeCell ref="A456:A458"/>
    <mergeCell ref="A459:A461"/>
    <mergeCell ref="H243:K243"/>
    <mergeCell ref="U243:Y243"/>
    <mergeCell ref="C255:G255"/>
    <mergeCell ref="L243:O243"/>
    <mergeCell ref="P243:T243"/>
    <mergeCell ref="W267:AC267"/>
    <mergeCell ref="P269:Q269"/>
    <mergeCell ref="R269:T269"/>
    <mergeCell ref="U269:V269"/>
    <mergeCell ref="W269:Y269"/>
    <mergeCell ref="AA269:AC269"/>
    <mergeCell ref="P273:T273"/>
    <mergeCell ref="W327:AC327"/>
    <mergeCell ref="P329:Q329"/>
    <mergeCell ref="W272:Y272"/>
    <mergeCell ref="W302:Y302"/>
    <mergeCell ref="B272:G272"/>
    <mergeCell ref="I272:L272"/>
    <mergeCell ref="M272:N272"/>
    <mergeCell ref="O272:S272"/>
    <mergeCell ref="C315:G315"/>
    <mergeCell ref="U272:V272"/>
    <mergeCell ref="C303:G303"/>
    <mergeCell ref="H315:K315"/>
    <mergeCell ref="L315:O315"/>
    <mergeCell ref="P315:T315"/>
    <mergeCell ref="U315:X315"/>
    <mergeCell ref="Y315:AC315"/>
    <mergeCell ref="A301:AC301"/>
    <mergeCell ref="A261:A263"/>
    <mergeCell ref="A264:A266"/>
    <mergeCell ref="R329:T329"/>
    <mergeCell ref="A241:AC241"/>
    <mergeCell ref="B242:G242"/>
    <mergeCell ref="I242:L242"/>
    <mergeCell ref="M242:N242"/>
    <mergeCell ref="A258:A260"/>
    <mergeCell ref="Z303:AC303"/>
    <mergeCell ref="A306:A308"/>
    <mergeCell ref="H303:K303"/>
    <mergeCell ref="U303:Y303"/>
    <mergeCell ref="A309:A311"/>
    <mergeCell ref="A312:A314"/>
    <mergeCell ref="Z243:AC243"/>
    <mergeCell ref="A246:A248"/>
    <mergeCell ref="A249:A251"/>
    <mergeCell ref="A252:A254"/>
    <mergeCell ref="O242:S242"/>
    <mergeCell ref="U242:V242"/>
    <mergeCell ref="W242:Y242"/>
    <mergeCell ref="C243:G243"/>
    <mergeCell ref="A271:AC271"/>
    <mergeCell ref="A294:A296"/>
    <mergeCell ref="W297:AC297"/>
    <mergeCell ref="A288:A290"/>
    <mergeCell ref="A291:A293"/>
    <mergeCell ref="B302:G302"/>
    <mergeCell ref="I302:L302"/>
    <mergeCell ref="M302:N302"/>
    <mergeCell ref="H255:K255"/>
    <mergeCell ref="L255:O255"/>
    <mergeCell ref="P255:T255"/>
    <mergeCell ref="U255:X255"/>
    <mergeCell ref="Y255:AC255"/>
    <mergeCell ref="Z213:AC213"/>
    <mergeCell ref="A216:A218"/>
    <mergeCell ref="P225:T225"/>
    <mergeCell ref="U225:X225"/>
    <mergeCell ref="A228:A230"/>
    <mergeCell ref="A231:A233"/>
    <mergeCell ref="A234:A236"/>
    <mergeCell ref="W237:AC237"/>
    <mergeCell ref="P239:Q239"/>
    <mergeCell ref="R239:T239"/>
    <mergeCell ref="U239:V239"/>
    <mergeCell ref="W239:Y239"/>
    <mergeCell ref="AA239:AC239"/>
    <mergeCell ref="A186:A188"/>
    <mergeCell ref="A189:A191"/>
    <mergeCell ref="A192:A194"/>
    <mergeCell ref="A181:AC181"/>
    <mergeCell ref="B182:G182"/>
    <mergeCell ref="I182:L182"/>
    <mergeCell ref="M182:N182"/>
    <mergeCell ref="O182:S182"/>
    <mergeCell ref="W207:AC207"/>
    <mergeCell ref="P209:Q209"/>
    <mergeCell ref="R209:T209"/>
    <mergeCell ref="U209:V209"/>
    <mergeCell ref="W209:Y209"/>
    <mergeCell ref="AA209:AC209"/>
    <mergeCell ref="Y225:AC225"/>
    <mergeCell ref="A211:AC211"/>
    <mergeCell ref="B212:G212"/>
    <mergeCell ref="I212:L212"/>
    <mergeCell ref="M212:N212"/>
    <mergeCell ref="A156:A158"/>
    <mergeCell ref="A159:A161"/>
    <mergeCell ref="A222:A224"/>
    <mergeCell ref="C225:G225"/>
    <mergeCell ref="H225:K225"/>
    <mergeCell ref="L225:O225"/>
    <mergeCell ref="A198:A200"/>
    <mergeCell ref="C195:G195"/>
    <mergeCell ref="H195:K195"/>
    <mergeCell ref="L195:O195"/>
    <mergeCell ref="A162:A164"/>
    <mergeCell ref="A168:A170"/>
    <mergeCell ref="C153:G153"/>
    <mergeCell ref="H153:K153"/>
    <mergeCell ref="U153:Y153"/>
    <mergeCell ref="C165:G165"/>
    <mergeCell ref="H165:K165"/>
    <mergeCell ref="L165:O165"/>
    <mergeCell ref="H213:K213"/>
    <mergeCell ref="U213:Y213"/>
    <mergeCell ref="O212:S212"/>
    <mergeCell ref="U212:V212"/>
    <mergeCell ref="W212:Y212"/>
    <mergeCell ref="C213:G213"/>
    <mergeCell ref="A1:AC1"/>
    <mergeCell ref="B2:G2"/>
    <mergeCell ref="I2:L2"/>
    <mergeCell ref="M2:N2"/>
    <mergeCell ref="O2:S2"/>
    <mergeCell ref="Z3:AC3"/>
    <mergeCell ref="P29:Q29"/>
    <mergeCell ref="R29:T29"/>
    <mergeCell ref="W29:Y29"/>
    <mergeCell ref="C3:G3"/>
    <mergeCell ref="H3:K3"/>
    <mergeCell ref="U3:Y3"/>
    <mergeCell ref="AA29:AC29"/>
    <mergeCell ref="U29:V29"/>
    <mergeCell ref="U2:V2"/>
    <mergeCell ref="W2:Y2"/>
    <mergeCell ref="W87:AC87"/>
    <mergeCell ref="C45:G45"/>
    <mergeCell ref="H45:K45"/>
    <mergeCell ref="L45:O45"/>
    <mergeCell ref="P45:T45"/>
    <mergeCell ref="U45:X45"/>
    <mergeCell ref="A9:A11"/>
    <mergeCell ref="A12:A14"/>
    <mergeCell ref="A18:A20"/>
    <mergeCell ref="L3:O3"/>
    <mergeCell ref="P3:T3"/>
    <mergeCell ref="A36:A38"/>
    <mergeCell ref="L33:O33"/>
    <mergeCell ref="P33:T33"/>
    <mergeCell ref="A6:A8"/>
    <mergeCell ref="H33:K33"/>
    <mergeCell ref="U33:Y33"/>
    <mergeCell ref="A31:AC31"/>
    <mergeCell ref="B32:G32"/>
    <mergeCell ref="I32:L32"/>
    <mergeCell ref="M32:N32"/>
    <mergeCell ref="Z33:AC33"/>
    <mergeCell ref="C33:G33"/>
    <mergeCell ref="W32:Y32"/>
    <mergeCell ref="O32:S32"/>
    <mergeCell ref="U32:V32"/>
    <mergeCell ref="Y15:AC15"/>
    <mergeCell ref="C15:G15"/>
    <mergeCell ref="H15:K15"/>
    <mergeCell ref="L15:O15"/>
    <mergeCell ref="P15:T15"/>
    <mergeCell ref="U15:X15"/>
    <mergeCell ref="A21:A23"/>
    <mergeCell ref="A24:A26"/>
    <mergeCell ref="W27:AC27"/>
    <mergeCell ref="A39:A41"/>
    <mergeCell ref="A42:A44"/>
    <mergeCell ref="C75:G75"/>
    <mergeCell ref="U75:X75"/>
    <mergeCell ref="A51:A53"/>
    <mergeCell ref="A54:A56"/>
    <mergeCell ref="W57:AC57"/>
    <mergeCell ref="P59:Q59"/>
    <mergeCell ref="R59:T59"/>
    <mergeCell ref="U59:V59"/>
    <mergeCell ref="W59:Y59"/>
    <mergeCell ref="AA59:AC59"/>
    <mergeCell ref="A61:AC61"/>
    <mergeCell ref="B62:G62"/>
    <mergeCell ref="I62:L62"/>
    <mergeCell ref="W417:AC417"/>
    <mergeCell ref="Y375:AC375"/>
    <mergeCell ref="L363:O363"/>
    <mergeCell ref="P363:T363"/>
    <mergeCell ref="A48:A50"/>
    <mergeCell ref="M62:N62"/>
    <mergeCell ref="O62:S62"/>
    <mergeCell ref="U62:V62"/>
    <mergeCell ref="W62:Y62"/>
    <mergeCell ref="Y45:AC45"/>
    <mergeCell ref="A91:AC91"/>
    <mergeCell ref="B92:G92"/>
    <mergeCell ref="I92:L92"/>
    <mergeCell ref="M92:N92"/>
    <mergeCell ref="O92:S92"/>
    <mergeCell ref="U92:V92"/>
    <mergeCell ref="W92:Y92"/>
    <mergeCell ref="W179:Y179"/>
    <mergeCell ref="P75:T75"/>
    <mergeCell ref="P105:T105"/>
    <mergeCell ref="P89:Q89"/>
    <mergeCell ref="R89:T89"/>
    <mergeCell ref="U89:V89"/>
    <mergeCell ref="W89:Y89"/>
    <mergeCell ref="AA89:AC89"/>
    <mergeCell ref="W117:AC117"/>
    <mergeCell ref="P119:Q119"/>
    <mergeCell ref="R119:T119"/>
    <mergeCell ref="U119:V119"/>
    <mergeCell ref="W119:Y119"/>
    <mergeCell ref="AA119:AC119"/>
    <mergeCell ref="U105:X105"/>
    <mergeCell ref="U423:Y423"/>
    <mergeCell ref="Y435:AC435"/>
    <mergeCell ref="P435:T435"/>
    <mergeCell ref="P299:Q299"/>
    <mergeCell ref="A361:AC361"/>
    <mergeCell ref="B362:G362"/>
    <mergeCell ref="I362:L362"/>
    <mergeCell ref="M362:N362"/>
    <mergeCell ref="O362:S362"/>
    <mergeCell ref="U362:V362"/>
    <mergeCell ref="A369:A371"/>
    <mergeCell ref="A372:A374"/>
    <mergeCell ref="A378:A380"/>
    <mergeCell ref="L393:O393"/>
    <mergeCell ref="P393:T393"/>
    <mergeCell ref="AA179:AC179"/>
    <mergeCell ref="Z153:AC153"/>
    <mergeCell ref="A331:AC331"/>
    <mergeCell ref="L93:O93"/>
    <mergeCell ref="P93:T93"/>
    <mergeCell ref="Z93:AC93"/>
    <mergeCell ref="U483:Y483"/>
    <mergeCell ref="Z483:AC483"/>
    <mergeCell ref="L453:O453"/>
    <mergeCell ref="C453:G453"/>
    <mergeCell ref="H453:K453"/>
    <mergeCell ref="W392:Y392"/>
    <mergeCell ref="C393:G393"/>
    <mergeCell ref="H393:K393"/>
    <mergeCell ref="U393:Y393"/>
    <mergeCell ref="A441:A443"/>
    <mergeCell ref="C423:G423"/>
    <mergeCell ref="H423:K423"/>
    <mergeCell ref="A402:A404"/>
    <mergeCell ref="U453:Y453"/>
    <mergeCell ref="A429:A431"/>
    <mergeCell ref="A432:A434"/>
    <mergeCell ref="A438:A440"/>
    <mergeCell ref="A426:A428"/>
    <mergeCell ref="P453:T453"/>
    <mergeCell ref="P465:T465"/>
    <mergeCell ref="U465:X465"/>
    <mergeCell ref="Y465:AC465"/>
    <mergeCell ref="A468:A470"/>
    <mergeCell ref="A471:A473"/>
    <mergeCell ref="W477:AC477"/>
    <mergeCell ref="U479:V479"/>
    <mergeCell ref="W479:Y479"/>
    <mergeCell ref="U179:V179"/>
    <mergeCell ref="A114:A116"/>
    <mergeCell ref="A81:A83"/>
    <mergeCell ref="A84:A86"/>
    <mergeCell ref="Z63:AC63"/>
    <mergeCell ref="A66:A68"/>
    <mergeCell ref="A69:A71"/>
    <mergeCell ref="A72:A74"/>
    <mergeCell ref="A78:A80"/>
    <mergeCell ref="C63:G63"/>
    <mergeCell ref="H63:K63"/>
    <mergeCell ref="L75:O75"/>
    <mergeCell ref="Y75:AC75"/>
    <mergeCell ref="L63:O63"/>
    <mergeCell ref="P63:T63"/>
    <mergeCell ref="H93:K93"/>
    <mergeCell ref="U93:Y93"/>
    <mergeCell ref="H75:K75"/>
    <mergeCell ref="A99:A101"/>
    <mergeCell ref="A102:A104"/>
    <mergeCell ref="A108:A110"/>
    <mergeCell ref="C105:G105"/>
    <mergeCell ref="H105:K105"/>
    <mergeCell ref="Y105:AC105"/>
    <mergeCell ref="L105:O105"/>
    <mergeCell ref="U63:Y63"/>
    <mergeCell ref="C93:G93"/>
    <mergeCell ref="U333:Y333"/>
    <mergeCell ref="Z333:AC333"/>
    <mergeCell ref="P495:T495"/>
    <mergeCell ref="U495:X495"/>
    <mergeCell ref="Y495:AC495"/>
    <mergeCell ref="A498:A500"/>
    <mergeCell ref="A444:A446"/>
    <mergeCell ref="W447:AC447"/>
    <mergeCell ref="P449:Q449"/>
    <mergeCell ref="R449:T449"/>
    <mergeCell ref="U449:V449"/>
    <mergeCell ref="W449:Y449"/>
    <mergeCell ref="P359:Q359"/>
    <mergeCell ref="R359:T359"/>
    <mergeCell ref="L573:O573"/>
    <mergeCell ref="P573:T573"/>
    <mergeCell ref="A486:A488"/>
    <mergeCell ref="AA509:AC509"/>
    <mergeCell ref="L465:O465"/>
    <mergeCell ref="A462:A464"/>
    <mergeCell ref="C465:G465"/>
    <mergeCell ref="H435:K435"/>
    <mergeCell ref="L435:O435"/>
    <mergeCell ref="H345:K345"/>
    <mergeCell ref="AA359:AC359"/>
    <mergeCell ref="B512:G512"/>
    <mergeCell ref="C483:G483"/>
    <mergeCell ref="H483:K483"/>
    <mergeCell ref="Z453:AC453"/>
    <mergeCell ref="Z543:AC543"/>
    <mergeCell ref="C555:G555"/>
    <mergeCell ref="A571:AC571"/>
    <mergeCell ref="A588:A590"/>
    <mergeCell ref="A601:AC601"/>
    <mergeCell ref="A591:A593"/>
    <mergeCell ref="AA599:AC599"/>
    <mergeCell ref="P599:Q599"/>
    <mergeCell ref="R599:T599"/>
    <mergeCell ref="U599:V599"/>
    <mergeCell ref="B602:G602"/>
    <mergeCell ref="I602:L602"/>
    <mergeCell ref="M602:N602"/>
    <mergeCell ref="O602:S602"/>
    <mergeCell ref="U602:V602"/>
    <mergeCell ref="W602:Y602"/>
    <mergeCell ref="B572:G572"/>
    <mergeCell ref="I572:L572"/>
    <mergeCell ref="M572:N572"/>
    <mergeCell ref="O572:S572"/>
    <mergeCell ref="U573:Y573"/>
    <mergeCell ref="Z573:AC573"/>
    <mergeCell ref="H555:K555"/>
    <mergeCell ref="L555:O555"/>
    <mergeCell ref="U585:X585"/>
    <mergeCell ref="Y585:AC585"/>
    <mergeCell ref="C573:G573"/>
    <mergeCell ref="C543:G543"/>
    <mergeCell ref="H543:K543"/>
    <mergeCell ref="C585:G585"/>
    <mergeCell ref="H585:K585"/>
    <mergeCell ref="L585:O585"/>
    <mergeCell ref="A678:A680"/>
    <mergeCell ref="B692:G692"/>
    <mergeCell ref="A714:A716"/>
    <mergeCell ref="W717:AC717"/>
    <mergeCell ref="P719:Q719"/>
    <mergeCell ref="AA629:AC629"/>
    <mergeCell ref="I662:L662"/>
    <mergeCell ref="M662:N662"/>
    <mergeCell ref="W627:AC627"/>
    <mergeCell ref="P629:Q629"/>
    <mergeCell ref="R629:T629"/>
    <mergeCell ref="U629:V629"/>
    <mergeCell ref="C633:G633"/>
    <mergeCell ref="A606:A608"/>
    <mergeCell ref="A609:A611"/>
    <mergeCell ref="A612:A614"/>
    <mergeCell ref="A576:A578"/>
    <mergeCell ref="A579:A581"/>
    <mergeCell ref="A582:A584"/>
    <mergeCell ref="AA659:AC659"/>
    <mergeCell ref="L663:O663"/>
    <mergeCell ref="A708:A710"/>
    <mergeCell ref="W719:Y719"/>
    <mergeCell ref="AA719:AC719"/>
    <mergeCell ref="A711:A713"/>
    <mergeCell ref="A672:A674"/>
    <mergeCell ref="C675:G675"/>
    <mergeCell ref="H675:K675"/>
    <mergeCell ref="W659:Y659"/>
    <mergeCell ref="U663:Y663"/>
    <mergeCell ref="Z663:AC663"/>
    <mergeCell ref="C663:G663"/>
    <mergeCell ref="M692:N692"/>
    <mergeCell ref="U692:V692"/>
    <mergeCell ref="W692:Y692"/>
    <mergeCell ref="H735:K735"/>
    <mergeCell ref="L735:O735"/>
    <mergeCell ref="P735:T735"/>
    <mergeCell ref="L675:O675"/>
    <mergeCell ref="P675:T675"/>
    <mergeCell ref="A681:A683"/>
    <mergeCell ref="A684:A686"/>
    <mergeCell ref="W687:AC687"/>
    <mergeCell ref="A661:AC661"/>
    <mergeCell ref="B662:G662"/>
    <mergeCell ref="AA689:AC689"/>
    <mergeCell ref="U675:X675"/>
    <mergeCell ref="Y675:AC675"/>
    <mergeCell ref="C693:G693"/>
    <mergeCell ref="A691:AC691"/>
    <mergeCell ref="Z693:AC693"/>
    <mergeCell ref="L615:O615"/>
    <mergeCell ref="P615:T615"/>
    <mergeCell ref="U615:X615"/>
    <mergeCell ref="Y615:AC615"/>
    <mergeCell ref="W657:AC657"/>
    <mergeCell ref="M632:N632"/>
    <mergeCell ref="O632:S632"/>
    <mergeCell ref="W632:Y632"/>
    <mergeCell ref="A642:A644"/>
    <mergeCell ref="A648:A650"/>
    <mergeCell ref="A651:A653"/>
    <mergeCell ref="A654:A656"/>
    <mergeCell ref="C603:G603"/>
    <mergeCell ref="H603:K603"/>
    <mergeCell ref="U603:Y603"/>
    <mergeCell ref="Z603:AC603"/>
    <mergeCell ref="C645:G645"/>
    <mergeCell ref="I632:L632"/>
    <mergeCell ref="L765:O765"/>
    <mergeCell ref="Z783:AC783"/>
    <mergeCell ref="H723:K723"/>
    <mergeCell ref="U723:Y723"/>
    <mergeCell ref="A558:A560"/>
    <mergeCell ref="A561:A563"/>
    <mergeCell ref="A564:A566"/>
    <mergeCell ref="H663:K663"/>
    <mergeCell ref="A666:A668"/>
    <mergeCell ref="A618:A620"/>
    <mergeCell ref="A621:A623"/>
    <mergeCell ref="A624:A626"/>
    <mergeCell ref="A639:A641"/>
    <mergeCell ref="A636:A638"/>
    <mergeCell ref="U632:V632"/>
    <mergeCell ref="A696:A698"/>
    <mergeCell ref="A699:A701"/>
    <mergeCell ref="A702:A704"/>
    <mergeCell ref="P689:Q689"/>
    <mergeCell ref="R689:T689"/>
    <mergeCell ref="U689:V689"/>
    <mergeCell ref="W689:Y689"/>
    <mergeCell ref="A594:A596"/>
    <mergeCell ref="W597:AC597"/>
    <mergeCell ref="H645:K645"/>
    <mergeCell ref="L645:O645"/>
    <mergeCell ref="P645:T645"/>
    <mergeCell ref="U645:X645"/>
    <mergeCell ref="Z723:AC723"/>
    <mergeCell ref="L633:O633"/>
    <mergeCell ref="P633:T633"/>
    <mergeCell ref="R719:T719"/>
    <mergeCell ref="A519:A521"/>
    <mergeCell ref="A522:A524"/>
    <mergeCell ref="U435:X435"/>
    <mergeCell ref="L423:O423"/>
    <mergeCell ref="P423:T423"/>
    <mergeCell ref="P405:T405"/>
    <mergeCell ref="U405:X405"/>
    <mergeCell ref="H753:K753"/>
    <mergeCell ref="U753:Y753"/>
    <mergeCell ref="Z753:AC753"/>
    <mergeCell ref="P783:T783"/>
    <mergeCell ref="U749:V749"/>
    <mergeCell ref="W749:Y749"/>
    <mergeCell ref="U705:X705"/>
    <mergeCell ref="Y705:AC705"/>
    <mergeCell ref="C705:G705"/>
    <mergeCell ref="H705:K705"/>
    <mergeCell ref="L705:O705"/>
    <mergeCell ref="P705:T705"/>
    <mergeCell ref="B782:G782"/>
    <mergeCell ref="I782:L782"/>
    <mergeCell ref="M782:N782"/>
    <mergeCell ref="O782:S782"/>
    <mergeCell ref="U782:V782"/>
    <mergeCell ref="W782:Y782"/>
    <mergeCell ref="C783:G783"/>
    <mergeCell ref="H783:K783"/>
    <mergeCell ref="U752:V752"/>
    <mergeCell ref="W752:Y752"/>
    <mergeCell ref="A751:AC751"/>
    <mergeCell ref="Y735:AC735"/>
    <mergeCell ref="U735:X735"/>
    <mergeCell ref="B332:G332"/>
    <mergeCell ref="I332:L332"/>
    <mergeCell ref="M332:N332"/>
    <mergeCell ref="O332:S332"/>
    <mergeCell ref="U332:V332"/>
    <mergeCell ref="W332:Y332"/>
    <mergeCell ref="C333:G333"/>
    <mergeCell ref="L333:O333"/>
    <mergeCell ref="P333:T333"/>
    <mergeCell ref="A342:A344"/>
    <mergeCell ref="A348:A350"/>
    <mergeCell ref="AA419:AC419"/>
    <mergeCell ref="W422:Y422"/>
    <mergeCell ref="U422:V422"/>
    <mergeCell ref="O422:S422"/>
    <mergeCell ref="M422:N422"/>
    <mergeCell ref="A381:A383"/>
    <mergeCell ref="A384:A386"/>
    <mergeCell ref="W387:AC387"/>
    <mergeCell ref="P389:Q389"/>
    <mergeCell ref="R389:T389"/>
    <mergeCell ref="O392:S392"/>
    <mergeCell ref="U392:V392"/>
    <mergeCell ref="L345:O345"/>
    <mergeCell ref="Y405:AC405"/>
    <mergeCell ref="P419:Q419"/>
    <mergeCell ref="R419:T419"/>
    <mergeCell ref="U419:V419"/>
    <mergeCell ref="W419:Y419"/>
    <mergeCell ref="A339:A341"/>
    <mergeCell ref="A336:A338"/>
    <mergeCell ref="H333:K333"/>
    <mergeCell ref="P813:T813"/>
    <mergeCell ref="I812:L812"/>
    <mergeCell ref="O692:S692"/>
    <mergeCell ref="P659:Q659"/>
    <mergeCell ref="R659:T659"/>
    <mergeCell ref="O662:S662"/>
    <mergeCell ref="A721:AC721"/>
    <mergeCell ref="B722:G722"/>
    <mergeCell ref="I722:L722"/>
    <mergeCell ref="M722:N722"/>
    <mergeCell ref="O722:S722"/>
    <mergeCell ref="U722:V722"/>
    <mergeCell ref="W722:Y722"/>
    <mergeCell ref="C723:G723"/>
    <mergeCell ref="A804:A806"/>
    <mergeCell ref="W807:AC807"/>
    <mergeCell ref="P809:Q809"/>
    <mergeCell ref="A756:A758"/>
    <mergeCell ref="B752:G752"/>
    <mergeCell ref="I752:L752"/>
    <mergeCell ref="M752:N752"/>
    <mergeCell ref="A669:A671"/>
    <mergeCell ref="H693:K693"/>
    <mergeCell ref="U693:Y693"/>
    <mergeCell ref="O752:S752"/>
    <mergeCell ref="A781:AC781"/>
    <mergeCell ref="P765:T765"/>
    <mergeCell ref="U765:X765"/>
    <mergeCell ref="Y765:AC765"/>
    <mergeCell ref="AA749:AC749"/>
    <mergeCell ref="C735:G735"/>
    <mergeCell ref="U719:V719"/>
    <mergeCell ref="H465:K465"/>
    <mergeCell ref="A474:A476"/>
    <mergeCell ref="P479:Q479"/>
    <mergeCell ref="R479:T479"/>
    <mergeCell ref="A451:AC451"/>
    <mergeCell ref="B452:G452"/>
    <mergeCell ref="I452:L452"/>
    <mergeCell ref="M452:N452"/>
    <mergeCell ref="O452:S452"/>
    <mergeCell ref="U452:V452"/>
    <mergeCell ref="U572:V572"/>
    <mergeCell ref="W572:Y572"/>
    <mergeCell ref="P555:T555"/>
    <mergeCell ref="U555:X555"/>
    <mergeCell ref="Y555:AC555"/>
    <mergeCell ref="W567:AC567"/>
    <mergeCell ref="W542:Y542"/>
    <mergeCell ref="L513:O513"/>
    <mergeCell ref="P513:T513"/>
    <mergeCell ref="L543:O543"/>
    <mergeCell ref="P543:T543"/>
    <mergeCell ref="C525:G525"/>
    <mergeCell ref="A531:A533"/>
    <mergeCell ref="A534:A536"/>
    <mergeCell ref="A541:AC541"/>
    <mergeCell ref="W452:Y452"/>
    <mergeCell ref="A549:A551"/>
    <mergeCell ref="A552:A554"/>
    <mergeCell ref="P569:Q569"/>
    <mergeCell ref="A546:A548"/>
    <mergeCell ref="A528:A530"/>
    <mergeCell ref="P509:Q509"/>
    <mergeCell ref="U843:Y843"/>
    <mergeCell ref="Z843:AC843"/>
    <mergeCell ref="A846:A848"/>
    <mergeCell ref="A849:A851"/>
    <mergeCell ref="A852:A854"/>
    <mergeCell ref="C855:G855"/>
    <mergeCell ref="W507:AC507"/>
    <mergeCell ref="A501:A503"/>
    <mergeCell ref="A504:A506"/>
    <mergeCell ref="A489:A491"/>
    <mergeCell ref="A492:A494"/>
    <mergeCell ref="C495:G495"/>
    <mergeCell ref="H495:K495"/>
    <mergeCell ref="L495:O495"/>
    <mergeCell ref="W537:AC537"/>
    <mergeCell ref="A511:AC511"/>
    <mergeCell ref="R539:T539"/>
    <mergeCell ref="Z513:AC513"/>
    <mergeCell ref="U512:V512"/>
    <mergeCell ref="W512:Y512"/>
    <mergeCell ref="I512:L512"/>
    <mergeCell ref="M512:N512"/>
    <mergeCell ref="O512:S512"/>
    <mergeCell ref="R509:T509"/>
    <mergeCell ref="U509:V509"/>
    <mergeCell ref="W509:Y509"/>
    <mergeCell ref="A516:A518"/>
    <mergeCell ref="H525:K525"/>
    <mergeCell ref="L525:O525"/>
    <mergeCell ref="P525:T525"/>
    <mergeCell ref="U525:X525"/>
    <mergeCell ref="W839:Y839"/>
    <mergeCell ref="L843:O843"/>
    <mergeCell ref="P843:T843"/>
    <mergeCell ref="W842:Y842"/>
    <mergeCell ref="H813:K813"/>
    <mergeCell ref="U813:Y813"/>
    <mergeCell ref="Z813:AC813"/>
    <mergeCell ref="B812:G812"/>
    <mergeCell ref="M812:N812"/>
    <mergeCell ref="O812:S812"/>
    <mergeCell ref="U812:V812"/>
    <mergeCell ref="W812:Y812"/>
    <mergeCell ref="R809:T809"/>
    <mergeCell ref="A801:A803"/>
    <mergeCell ref="A819:A821"/>
    <mergeCell ref="C873:G873"/>
    <mergeCell ref="H873:K873"/>
    <mergeCell ref="U873:Y873"/>
    <mergeCell ref="L825:O825"/>
    <mergeCell ref="P825:T825"/>
    <mergeCell ref="U825:X825"/>
    <mergeCell ref="Z873:AC873"/>
    <mergeCell ref="A871:AC871"/>
    <mergeCell ref="B872:G872"/>
    <mergeCell ref="AA839:AC839"/>
    <mergeCell ref="C825:G825"/>
    <mergeCell ref="H825:K825"/>
    <mergeCell ref="A841:AC841"/>
    <mergeCell ref="B842:G842"/>
    <mergeCell ref="I842:L842"/>
    <mergeCell ref="L855:O855"/>
    <mergeCell ref="A822:A824"/>
    <mergeCell ref="H843:K843"/>
    <mergeCell ref="I872:L872"/>
    <mergeCell ref="M872:N872"/>
    <mergeCell ref="O872:S872"/>
    <mergeCell ref="U872:V872"/>
    <mergeCell ref="AA869:AC869"/>
    <mergeCell ref="P869:Q869"/>
    <mergeCell ref="R869:T869"/>
    <mergeCell ref="L813:O813"/>
    <mergeCell ref="A831:A833"/>
    <mergeCell ref="A834:A836"/>
    <mergeCell ref="W837:AC837"/>
    <mergeCell ref="P839:Q839"/>
    <mergeCell ref="R839:T839"/>
    <mergeCell ref="Y825:AC825"/>
    <mergeCell ref="U869:V869"/>
    <mergeCell ref="U839:V839"/>
    <mergeCell ref="A861:A863"/>
    <mergeCell ref="M842:N842"/>
    <mergeCell ref="O842:S842"/>
    <mergeCell ref="U842:V842"/>
    <mergeCell ref="A816:A818"/>
    <mergeCell ref="W869:Y869"/>
    <mergeCell ref="P855:T855"/>
    <mergeCell ref="U855:X855"/>
    <mergeCell ref="Y855:AC855"/>
    <mergeCell ref="A858:A860"/>
    <mergeCell ref="A864:A866"/>
    <mergeCell ref="W867:AC867"/>
    <mergeCell ref="W872:Y872"/>
    <mergeCell ref="A828:A830"/>
    <mergeCell ref="C843:G843"/>
    <mergeCell ref="H855:K855"/>
    <mergeCell ref="U809:V809"/>
    <mergeCell ref="W809:Y809"/>
    <mergeCell ref="AA809:AC809"/>
    <mergeCell ref="C795:G795"/>
    <mergeCell ref="H795:K795"/>
    <mergeCell ref="L795:O795"/>
    <mergeCell ref="P795:T795"/>
    <mergeCell ref="U795:X795"/>
    <mergeCell ref="Y795:AC795"/>
    <mergeCell ref="A811:AC811"/>
    <mergeCell ref="Y525:AC525"/>
    <mergeCell ref="P539:Q539"/>
    <mergeCell ref="C813:G813"/>
    <mergeCell ref="W927:AC927"/>
    <mergeCell ref="P929:Q929"/>
    <mergeCell ref="R929:T929"/>
    <mergeCell ref="U929:V929"/>
    <mergeCell ref="W929:Y929"/>
    <mergeCell ref="AA929:AC929"/>
    <mergeCell ref="A901:AC901"/>
    <mergeCell ref="B902:G902"/>
    <mergeCell ref="I902:L902"/>
    <mergeCell ref="M902:N902"/>
    <mergeCell ref="O902:S902"/>
    <mergeCell ref="U902:V902"/>
    <mergeCell ref="W902:Y902"/>
    <mergeCell ref="C903:G903"/>
    <mergeCell ref="H903:K903"/>
    <mergeCell ref="U903:Y903"/>
    <mergeCell ref="Z903:AC903"/>
    <mergeCell ref="A906:A908"/>
    <mergeCell ref="A631:AC631"/>
    <mergeCell ref="A126:A128"/>
    <mergeCell ref="A129:A131"/>
    <mergeCell ref="A132:A134"/>
    <mergeCell ref="A138:A140"/>
    <mergeCell ref="C123:G123"/>
    <mergeCell ref="H123:K123"/>
    <mergeCell ref="U123:Y123"/>
    <mergeCell ref="C135:G135"/>
    <mergeCell ref="H135:K135"/>
    <mergeCell ref="L135:O135"/>
    <mergeCell ref="P135:T135"/>
    <mergeCell ref="U135:X135"/>
    <mergeCell ref="Y135:AC135"/>
    <mergeCell ref="Z123:AC123"/>
    <mergeCell ref="A96:A98"/>
    <mergeCell ref="Z423:AC423"/>
    <mergeCell ref="C405:G405"/>
    <mergeCell ref="H405:K405"/>
    <mergeCell ref="A408:A410"/>
    <mergeCell ref="A411:A413"/>
    <mergeCell ref="A414:A416"/>
    <mergeCell ref="I422:L422"/>
    <mergeCell ref="U389:V389"/>
    <mergeCell ref="W389:Y389"/>
    <mergeCell ref="AA389:AC389"/>
    <mergeCell ref="A351:A353"/>
    <mergeCell ref="A354:A356"/>
    <mergeCell ref="W357:AC357"/>
    <mergeCell ref="A391:AC391"/>
    <mergeCell ref="B392:G392"/>
    <mergeCell ref="I392:L392"/>
    <mergeCell ref="L273:O273"/>
    <mergeCell ref="M152:N152"/>
    <mergeCell ref="O152:S152"/>
    <mergeCell ref="U152:V152"/>
    <mergeCell ref="W152:Y152"/>
    <mergeCell ref="C273:G273"/>
    <mergeCell ref="H273:K273"/>
    <mergeCell ref="U273:Y273"/>
    <mergeCell ref="Z273:AC273"/>
    <mergeCell ref="A276:A278"/>
    <mergeCell ref="A279:A281"/>
    <mergeCell ref="A282:A284"/>
    <mergeCell ref="C285:G285"/>
    <mergeCell ref="H285:K285"/>
    <mergeCell ref="L285:O285"/>
    <mergeCell ref="P285:T285"/>
    <mergeCell ref="U285:X285"/>
    <mergeCell ref="Y285:AC285"/>
    <mergeCell ref="P165:T165"/>
    <mergeCell ref="U165:X165"/>
    <mergeCell ref="Y165:AC165"/>
    <mergeCell ref="A219:A221"/>
    <mergeCell ref="P195:T195"/>
    <mergeCell ref="U195:X195"/>
    <mergeCell ref="Y195:AC195"/>
    <mergeCell ref="A201:A203"/>
    <mergeCell ref="A204:A206"/>
    <mergeCell ref="U182:V182"/>
    <mergeCell ref="W182:Y182"/>
    <mergeCell ref="C183:G183"/>
    <mergeCell ref="H183:K183"/>
    <mergeCell ref="U183:Y183"/>
    <mergeCell ref="Z183:AC183"/>
    <mergeCell ref="L123:O123"/>
    <mergeCell ref="P123:T123"/>
    <mergeCell ref="L153:O153"/>
    <mergeCell ref="P153:T153"/>
    <mergeCell ref="L183:O183"/>
    <mergeCell ref="P183:T183"/>
    <mergeCell ref="L213:O213"/>
    <mergeCell ref="P213:T213"/>
    <mergeCell ref="A121:AC121"/>
    <mergeCell ref="B122:G122"/>
    <mergeCell ref="I122:L122"/>
    <mergeCell ref="M122:N122"/>
    <mergeCell ref="O122:S122"/>
    <mergeCell ref="U122:V122"/>
    <mergeCell ref="W122:Y122"/>
    <mergeCell ref="A111:A113"/>
    <mergeCell ref="AA149:AC149"/>
    <mergeCell ref="A171:A173"/>
    <mergeCell ref="A174:A176"/>
    <mergeCell ref="W177:AC177"/>
    <mergeCell ref="P179:Q179"/>
    <mergeCell ref="R179:T179"/>
    <mergeCell ref="A141:A143"/>
    <mergeCell ref="A144:A146"/>
    <mergeCell ref="W147:AC147"/>
    <mergeCell ref="P149:Q149"/>
    <mergeCell ref="R149:T149"/>
    <mergeCell ref="U149:V149"/>
    <mergeCell ref="W149:Y149"/>
    <mergeCell ref="A151:AC151"/>
    <mergeCell ref="B152:G152"/>
    <mergeCell ref="I152:L152"/>
    <mergeCell ref="P585:T585"/>
    <mergeCell ref="H633:K633"/>
    <mergeCell ref="R749:T749"/>
    <mergeCell ref="B542:G542"/>
    <mergeCell ref="I542:L542"/>
    <mergeCell ref="M542:N542"/>
    <mergeCell ref="P663:T663"/>
    <mergeCell ref="L693:O693"/>
    <mergeCell ref="P693:T693"/>
    <mergeCell ref="O542:S542"/>
    <mergeCell ref="U542:V542"/>
    <mergeCell ref="U539:V539"/>
    <mergeCell ref="W539:Y539"/>
    <mergeCell ref="AA539:AC539"/>
    <mergeCell ref="U569:V569"/>
    <mergeCell ref="W569:Y569"/>
    <mergeCell ref="AA569:AC569"/>
    <mergeCell ref="U543:Y543"/>
    <mergeCell ref="U633:Y633"/>
    <mergeCell ref="Z633:AC633"/>
    <mergeCell ref="Y645:AC645"/>
    <mergeCell ref="L603:O603"/>
    <mergeCell ref="P603:T603"/>
    <mergeCell ref="R569:T569"/>
    <mergeCell ref="B632:G632"/>
    <mergeCell ref="I692:L692"/>
    <mergeCell ref="W599:Y599"/>
    <mergeCell ref="U662:V662"/>
    <mergeCell ref="W662:Y662"/>
    <mergeCell ref="W629:Y629"/>
    <mergeCell ref="C615:G615"/>
    <mergeCell ref="H615:K615"/>
    <mergeCell ref="A786:A788"/>
    <mergeCell ref="A789:A791"/>
    <mergeCell ref="A792:A794"/>
    <mergeCell ref="A798:A800"/>
    <mergeCell ref="A726:A728"/>
    <mergeCell ref="A729:A731"/>
    <mergeCell ref="A732:A734"/>
    <mergeCell ref="A738:A740"/>
    <mergeCell ref="A741:A743"/>
    <mergeCell ref="A744:A746"/>
    <mergeCell ref="W747:AC747"/>
    <mergeCell ref="P749:Q749"/>
    <mergeCell ref="L723:O723"/>
    <mergeCell ref="P723:T723"/>
    <mergeCell ref="L753:O753"/>
    <mergeCell ref="P753:T753"/>
    <mergeCell ref="U783:Y783"/>
    <mergeCell ref="L783:O783"/>
    <mergeCell ref="A759:A761"/>
    <mergeCell ref="A762:A764"/>
    <mergeCell ref="A768:A770"/>
    <mergeCell ref="A771:A773"/>
    <mergeCell ref="A774:A776"/>
    <mergeCell ref="W777:AC777"/>
    <mergeCell ref="P779:Q779"/>
    <mergeCell ref="R779:T779"/>
    <mergeCell ref="U779:V779"/>
    <mergeCell ref="W779:Y779"/>
    <mergeCell ref="AA779:AC779"/>
    <mergeCell ref="C765:G765"/>
    <mergeCell ref="H765:K765"/>
    <mergeCell ref="C753:G753"/>
    <mergeCell ref="A882:A884"/>
    <mergeCell ref="A891:A893"/>
    <mergeCell ref="A894:A896"/>
    <mergeCell ref="A912:A914"/>
    <mergeCell ref="C915:G915"/>
    <mergeCell ref="H915:K915"/>
    <mergeCell ref="L915:O915"/>
    <mergeCell ref="P915:T915"/>
    <mergeCell ref="U915:X915"/>
    <mergeCell ref="U899:V899"/>
    <mergeCell ref="W899:Y899"/>
    <mergeCell ref="AA899:AC899"/>
    <mergeCell ref="A888:A890"/>
    <mergeCell ref="L873:O873"/>
    <mergeCell ref="P873:T873"/>
    <mergeCell ref="L903:O903"/>
    <mergeCell ref="P903:T903"/>
    <mergeCell ref="C885:G885"/>
    <mergeCell ref="H885:K885"/>
    <mergeCell ref="L885:O885"/>
    <mergeCell ref="P885:T885"/>
    <mergeCell ref="U885:X885"/>
    <mergeCell ref="Y885:AC885"/>
    <mergeCell ref="W897:AC897"/>
    <mergeCell ref="P899:Q899"/>
    <mergeCell ref="R899:T899"/>
    <mergeCell ref="A876:A878"/>
    <mergeCell ref="A879:A881"/>
    <mergeCell ref="B932:G932"/>
    <mergeCell ref="I932:L932"/>
    <mergeCell ref="M932:N932"/>
    <mergeCell ref="O932:S932"/>
    <mergeCell ref="U932:V932"/>
    <mergeCell ref="W932:Y932"/>
    <mergeCell ref="A918:A920"/>
    <mergeCell ref="A921:A923"/>
    <mergeCell ref="A924:A926"/>
    <mergeCell ref="A909:A911"/>
    <mergeCell ref="A936:A938"/>
    <mergeCell ref="A939:A941"/>
    <mergeCell ref="A942:A944"/>
    <mergeCell ref="C945:G945"/>
    <mergeCell ref="H945:K945"/>
    <mergeCell ref="L945:O945"/>
    <mergeCell ref="P945:T945"/>
    <mergeCell ref="U945:X945"/>
    <mergeCell ref="Y945:AC945"/>
    <mergeCell ref="C933:G933"/>
    <mergeCell ref="H933:K933"/>
    <mergeCell ref="L933:O933"/>
    <mergeCell ref="P933:T933"/>
    <mergeCell ref="U933:Y933"/>
    <mergeCell ref="Z933:AC933"/>
    <mergeCell ref="Y915:AC915"/>
    <mergeCell ref="A931:AC931"/>
    <mergeCell ref="A961:AC961"/>
    <mergeCell ref="B962:G962"/>
    <mergeCell ref="I962:L962"/>
    <mergeCell ref="M962:N962"/>
    <mergeCell ref="O962:S962"/>
    <mergeCell ref="U962:V962"/>
    <mergeCell ref="W962:Y962"/>
    <mergeCell ref="C963:G963"/>
    <mergeCell ref="H963:K963"/>
    <mergeCell ref="L963:O963"/>
    <mergeCell ref="P963:T963"/>
    <mergeCell ref="U963:Y963"/>
    <mergeCell ref="Z963:AC963"/>
    <mergeCell ref="A948:A950"/>
    <mergeCell ref="A951:A953"/>
    <mergeCell ref="A954:A956"/>
    <mergeCell ref="W957:AC957"/>
    <mergeCell ref="P959:Q959"/>
    <mergeCell ref="R959:T959"/>
    <mergeCell ref="U959:V959"/>
    <mergeCell ref="W959:Y959"/>
    <mergeCell ref="AA959:AC959"/>
    <mergeCell ref="A978:A980"/>
    <mergeCell ref="A981:A983"/>
    <mergeCell ref="A984:A986"/>
    <mergeCell ref="W987:AC987"/>
    <mergeCell ref="P989:Q989"/>
    <mergeCell ref="R989:T989"/>
    <mergeCell ref="U989:V989"/>
    <mergeCell ref="W989:Y989"/>
    <mergeCell ref="AA989:AC989"/>
    <mergeCell ref="A966:A968"/>
    <mergeCell ref="A969:A971"/>
    <mergeCell ref="A972:A974"/>
    <mergeCell ref="C975:G975"/>
    <mergeCell ref="H975:K975"/>
    <mergeCell ref="L975:O975"/>
    <mergeCell ref="P975:T975"/>
    <mergeCell ref="U975:X975"/>
    <mergeCell ref="Y975:AC975"/>
  </mergeCells>
  <phoneticPr fontId="11" type="noConversion"/>
  <pageMargins left="0.27559055118110237" right="0.27559055118110237" top="0.23622047244094491" bottom="0.39370078740157483" header="0.23622047244094491" footer="0.15748031496062992"/>
  <pageSetup paperSize="9" scale="93" fitToHeight="0" orientation="landscape" r:id="rId1"/>
  <headerFooter>
    <oddFooter>&amp;L&amp;"Angsana New,Regular"&amp;10แบบฟอร์มเลขที่ BWI 021/003&amp;R&amp;"Angsana New,Regular"&amp;10                แก้ไขครั้งที่ 01/0150</oddFooter>
  </headerFooter>
  <rowBreaks count="32" manualBreakCount="32">
    <brk id="30" max="16383" man="1"/>
    <brk id="60" max="16383" man="1"/>
    <brk id="90" max="16383" man="1"/>
    <brk id="120" max="16383" man="1"/>
    <brk id="150" max="16383" man="1"/>
    <brk id="180" max="16383" man="1"/>
    <brk id="210" max="16383" man="1"/>
    <brk id="240" max="16383" man="1"/>
    <brk id="270" max="16383" man="1"/>
    <brk id="300" max="16383" man="1"/>
    <brk id="330" max="16383" man="1"/>
    <brk id="360" max="16383" man="1"/>
    <brk id="390" max="16383" man="1"/>
    <brk id="420" max="16383" man="1"/>
    <brk id="450" max="16383" man="1"/>
    <brk id="480" max="16383" man="1"/>
    <brk id="510" max="16383" man="1"/>
    <brk id="540" max="16383" man="1"/>
    <brk id="570" max="16383" man="1"/>
    <brk id="600" max="16383" man="1"/>
    <brk id="630" max="16383" man="1"/>
    <brk id="660" max="16383" man="1"/>
    <brk id="690" max="16383" man="1"/>
    <brk id="720" max="16383" man="1"/>
    <brk id="750" max="16383" man="1"/>
    <brk id="780" max="16383" man="1"/>
    <brk id="810" max="16383" man="1"/>
    <brk id="840" max="16383" man="1"/>
    <brk id="870" max="16383" man="1"/>
    <brk id="900" max="16383" man="1"/>
    <brk id="930" max="16383" man="1"/>
    <brk id="96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392BA0E9-D5CA-46B2-AE14-0348AAAF357E}">
          <x14:formula1>
            <xm:f>'น้ำยา-เครื่อง'!$A$4:$A$13</xm:f>
          </x14:formula1>
          <xm:sqref>B5 B17 B35 B47 B65 B77 B95 B107 B125 B137 B155 B167 B185 B197 B215 B227 B245 B257 B275 B287 B305 B317 B335 B347 B365 B377 B395 B407 B425 B437 B455 B467 B485 B497 B515 B527 B545 B557 B575 B587 B605 B617 B635 B647 B665 B677 B695 B707 B725 B737 B755 B767 B785 B797 B815 B827 B845 B857 B875 B887 B905 B917 B935 B947 B965 B977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D3CD2-3EDA-48BD-A81F-D1F629B68469}">
  <dimension ref="A1:AG600"/>
  <sheetViews>
    <sheetView tabSelected="1" showWhiteSpace="0" view="pageBreakPreview" topLeftCell="A569" zoomScale="85" zoomScaleNormal="100" zoomScaleSheetLayoutView="85" zoomScalePageLayoutView="115" workbookViewId="0">
      <selection activeCell="C588" sqref="C588:AG588"/>
    </sheetView>
  </sheetViews>
  <sheetFormatPr defaultColWidth="9.125" defaultRowHeight="14.25" x14ac:dyDescent="0.2"/>
  <cols>
    <col min="1" max="1" width="20.625" customWidth="1"/>
    <col min="2" max="2" width="6" bestFit="1" customWidth="1"/>
    <col min="3" max="20" width="3.75" customWidth="1"/>
    <col min="21" max="22" width="3.75" style="37" customWidth="1"/>
    <col min="23" max="33" width="3.75" customWidth="1"/>
  </cols>
  <sheetData>
    <row r="1" spans="1:33" ht="23.25" x14ac:dyDescent="0.5">
      <c r="A1" s="80" t="s">
        <v>210</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row>
    <row r="2" spans="1:33" s="1" customFormat="1" ht="21" x14ac:dyDescent="0.45">
      <c r="A2" s="6" t="s">
        <v>22</v>
      </c>
      <c r="B2" s="81" t="s">
        <v>23</v>
      </c>
      <c r="C2" s="81"/>
      <c r="D2" s="81"/>
      <c r="E2" s="81"/>
      <c r="F2" s="81"/>
      <c r="G2" s="81"/>
      <c r="H2" s="6" t="s">
        <v>24</v>
      </c>
      <c r="I2" s="81" t="s">
        <v>27</v>
      </c>
      <c r="J2" s="81"/>
      <c r="K2" s="81"/>
      <c r="L2" s="81"/>
      <c r="M2" s="83" t="s">
        <v>25</v>
      </c>
      <c r="N2" s="83"/>
      <c r="O2" s="81" t="s">
        <v>19</v>
      </c>
      <c r="P2" s="81"/>
      <c r="Q2" s="81"/>
      <c r="R2" s="81"/>
      <c r="S2" s="81"/>
      <c r="T2" s="6" t="s">
        <v>20</v>
      </c>
      <c r="U2" s="101">
        <v>2569</v>
      </c>
      <c r="V2" s="101"/>
      <c r="W2" s="83" t="s">
        <v>35</v>
      </c>
      <c r="X2" s="83"/>
      <c r="Y2" s="83"/>
      <c r="Z2" s="1" t="s">
        <v>227</v>
      </c>
    </row>
    <row r="3" spans="1:33" s="2" customFormat="1" ht="18.75" customHeight="1" x14ac:dyDescent="0.2">
      <c r="A3" s="20" t="s">
        <v>0</v>
      </c>
      <c r="B3" s="21" t="s">
        <v>2</v>
      </c>
      <c r="C3" s="98" t="s">
        <v>332</v>
      </c>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row>
    <row r="4" spans="1:33" s="3" customFormat="1" ht="18" x14ac:dyDescent="0.2">
      <c r="A4" s="23" t="s">
        <v>1</v>
      </c>
      <c r="B4" s="24" t="s">
        <v>3</v>
      </c>
      <c r="C4" s="22">
        <v>1</v>
      </c>
      <c r="D4" s="22">
        <v>2</v>
      </c>
      <c r="E4" s="22">
        <v>3</v>
      </c>
      <c r="F4" s="22">
        <v>4</v>
      </c>
      <c r="G4" s="22">
        <v>5</v>
      </c>
      <c r="H4" s="22">
        <v>6</v>
      </c>
      <c r="I4" s="22">
        <v>7</v>
      </c>
      <c r="J4" s="22">
        <v>8</v>
      </c>
      <c r="K4" s="22">
        <v>9</v>
      </c>
      <c r="L4" s="22">
        <v>10</v>
      </c>
      <c r="M4" s="22">
        <v>11</v>
      </c>
      <c r="N4" s="22">
        <v>12</v>
      </c>
      <c r="O4" s="22">
        <v>13</v>
      </c>
      <c r="P4" s="22">
        <v>14</v>
      </c>
      <c r="Q4" s="22">
        <v>15</v>
      </c>
      <c r="R4" s="22">
        <v>16</v>
      </c>
      <c r="S4" s="22">
        <v>17</v>
      </c>
      <c r="T4" s="22">
        <v>18</v>
      </c>
      <c r="U4" s="22">
        <v>19</v>
      </c>
      <c r="V4" s="22">
        <v>20</v>
      </c>
      <c r="W4" s="22">
        <v>21</v>
      </c>
      <c r="X4" s="22">
        <v>22</v>
      </c>
      <c r="Y4" s="22">
        <v>23</v>
      </c>
      <c r="Z4" s="22">
        <v>24</v>
      </c>
      <c r="AA4" s="22">
        <v>25</v>
      </c>
      <c r="AB4" s="22">
        <v>26</v>
      </c>
      <c r="AC4" s="22">
        <v>27</v>
      </c>
      <c r="AD4" s="22">
        <v>28</v>
      </c>
      <c r="AE4" s="22">
        <v>29</v>
      </c>
      <c r="AF4" s="22">
        <v>30</v>
      </c>
      <c r="AG4" s="22">
        <v>31</v>
      </c>
    </row>
    <row r="5" spans="1:33" s="2" customFormat="1" ht="18" x14ac:dyDescent="0.2">
      <c r="A5" s="25"/>
      <c r="B5" s="26" t="s">
        <v>4</v>
      </c>
      <c r="C5" s="22">
        <f>_xlfn.IFNA(IF(OR(C4="",C4=0),"",(VLOOKUP(B5,'น้ำยา-เครื่อง'!$A:$AF,C4+1,FALSE))),"")</f>
        <v>1</v>
      </c>
      <c r="D5" s="22">
        <f>_xlfn.IFNA(IF(OR(D4="",D4=0),"",(VLOOKUP(B5,'น้ำยา-เครื่อง'!$A:$AF,D4+1,FALSE))),"")</f>
        <v>1</v>
      </c>
      <c r="E5" s="22">
        <f>_xlfn.IFNA(IF(OR(E4="",E4=0),"",(VLOOKUP(B5,'น้ำยา-เครื่อง'!$A:$AF,E4+1,FALSE))),"")</f>
        <v>1</v>
      </c>
      <c r="F5" s="22">
        <f>_xlfn.IFNA(IF(OR(F4="",F4=0),"",(VLOOKUP(B5,'น้ำยา-เครื่อง'!$A:$AF,F4+1,FALSE))),"")</f>
        <v>0</v>
      </c>
      <c r="G5" s="22">
        <f>_xlfn.IFNA(IF(OR(G4="",G4=0),"",(VLOOKUP(B5,'น้ำยา-เครื่อง'!$A:$AF,G4+1,FALSE))),"")</f>
        <v>0</v>
      </c>
      <c r="H5" s="22">
        <f>_xlfn.IFNA(IF(OR(H4="",H4=0),"",(VLOOKUP(B5,'น้ำยา-เครื่อง'!$A:$AF,H4+1,FALSE))),"")</f>
        <v>2</v>
      </c>
      <c r="I5" s="22">
        <f>_xlfn.IFNA(IF(OR(I4="",I4=0),"",(VLOOKUP(B5,'น้ำยา-เครื่อง'!$A:$AF,I4+1,FALSE))),"")</f>
        <v>2</v>
      </c>
      <c r="J5" s="22">
        <f>_xlfn.IFNA(IF(OR(J4="",J4=0),"",(VLOOKUP(B5,'น้ำยา-เครื่อง'!$A:$AF,J4+1,FALSE))),"")</f>
        <v>2</v>
      </c>
      <c r="K5" s="22">
        <f>_xlfn.IFNA(IF(OR(K4="",K4=0),"",(VLOOKUP(B5,'น้ำยา-เครื่อง'!$A:$AF,K4+1,FALSE))),"")</f>
        <v>2</v>
      </c>
      <c r="L5" s="22">
        <f>_xlfn.IFNA(IF(OR(L4="",L4=0),"",(VLOOKUP(B5,'น้ำยา-เครื่อง'!$A:$AF,L4+1,FALSE))),"")</f>
        <v>2</v>
      </c>
      <c r="M5" s="22">
        <f>_xlfn.IFNA(IF(OR(M4="",M4=0),"",(VLOOKUP(B5,'น้ำยา-เครื่อง'!$A:$AF,M4+1,FALSE))),"")</f>
        <v>0</v>
      </c>
      <c r="N5" s="22">
        <f>_xlfn.IFNA(IF(OR(N4="",N4=0),"",(VLOOKUP(B5,'น้ำยา-เครื่อง'!$A:$AF,N4+1,FALSE))),"")</f>
        <v>0</v>
      </c>
      <c r="O5" s="22">
        <f>_xlfn.IFNA(IF(OR(O4="",O4=0),"",(VLOOKUP(B5,'น้ำยา-เครื่อง'!$A:$AF,O4+1,FALSE))),"")</f>
        <v>1</v>
      </c>
      <c r="P5" s="22">
        <f>_xlfn.IFNA(IF(OR(P4="",P4=0),"",(VLOOKUP(B5,'น้ำยา-เครื่อง'!$A:$AF,P4+1,FALSE))),"")</f>
        <v>1</v>
      </c>
      <c r="Q5" s="22">
        <f>_xlfn.IFNA(IF(OR(Q4="",Q4=0),"",(VLOOKUP(B5,'น้ำยา-เครื่อง'!$A:$AF,Q4+1,FALSE))),"")</f>
        <v>1</v>
      </c>
      <c r="R5" s="22">
        <f>_xlfn.IFNA(IF(OR(R4="",R4=0),"",(VLOOKUP(B5,'น้ำยา-เครื่อง'!$A:$AF,R4+1,FALSE))),"")</f>
        <v>1</v>
      </c>
      <c r="S5" s="22">
        <f>_xlfn.IFNA(IF(OR(S4="",S4=0),"",(VLOOKUP(B5,'น้ำยา-เครื่อง'!$A:$AF,S4+1,FALSE))),"")</f>
        <v>1</v>
      </c>
      <c r="T5" s="22">
        <f>_xlfn.IFNA(IF(OR(T4="",T4=0),"",(VLOOKUP(B5,'น้ำยา-เครื่อง'!$A:$AF,T4+1,FALSE))),"")</f>
        <v>0</v>
      </c>
      <c r="U5" s="22">
        <f>_xlfn.IFNA(IF(OR(U4="",U4=0),"",(VLOOKUP(B5,'น้ำยา-เครื่อง'!$A:$AF,U4+1,FALSE))),"")</f>
        <v>0</v>
      </c>
      <c r="V5" s="22">
        <f>_xlfn.IFNA(IF(OR(V4="",V4=0),"",(VLOOKUP(B5,'น้ำยา-เครื่อง'!$A:$AF,V4+1,FALSE))),"")</f>
        <v>2</v>
      </c>
      <c r="W5" s="22">
        <f>_xlfn.IFNA(IF(OR(W4="",W4=0),"",(VLOOKUP(B5,'น้ำยา-เครื่อง'!$A:$AF,W4+1,FALSE))),"")</f>
        <v>2</v>
      </c>
      <c r="X5" s="22">
        <f>_xlfn.IFNA(IF(OR(X4="",X4=0),"",(VLOOKUP(B5,'น้ำยา-เครื่อง'!$A:$AF,X4+1,FALSE))),"")</f>
        <v>2</v>
      </c>
      <c r="Y5" s="22">
        <f>_xlfn.IFNA(IF(OR(Y4="",Y4=0),"",(VLOOKUP(B5,'น้ำยา-เครื่อง'!$A:$AF,Y4+1,FALSE))),"")</f>
        <v>2</v>
      </c>
      <c r="Z5" s="22">
        <f>_xlfn.IFNA(IF(OR(Z4="",Z4=0),"",(VLOOKUP(B5,'น้ำยา-เครื่อง'!$A:$AF,Z4+1,FALSE))),"")</f>
        <v>2</v>
      </c>
      <c r="AA5" s="22">
        <f>_xlfn.IFNA(IF(OR(AA4="",AA4=0),"",(VLOOKUP(B5,'น้ำยา-เครื่อง'!$A:$AF,AA4+1,FALSE))),"")</f>
        <v>0</v>
      </c>
      <c r="AB5" s="22">
        <f>_xlfn.IFNA(IF(OR(AB4="",AB4=0),"",(VLOOKUP(B5,'น้ำยา-เครื่อง'!$A:$AF,AB4+1,FALSE))),"")</f>
        <v>0</v>
      </c>
      <c r="AC5" s="22">
        <f>_xlfn.IFNA(IF(OR(AC4="",AC4=0),"",(VLOOKUP(B5,'น้ำยา-เครื่อง'!$A:$AF,AC4+1,FALSE))),"")</f>
        <v>1</v>
      </c>
      <c r="AD5" s="22">
        <f>_xlfn.IFNA(IF(OR(AD4="",AD4=0),"",(VLOOKUP(B5,'น้ำยา-เครื่อง'!$A:$AF,AD4+1,FALSE))),"")</f>
        <v>1</v>
      </c>
      <c r="AE5" s="22">
        <f>_xlfn.IFNA(IF(OR(AE4="",AE4=0),"",(VLOOKUP(B5,'น้ำยา-เครื่อง'!$A:$AF,AE4+1,FALSE))),"")</f>
        <v>1</v>
      </c>
      <c r="AF5" s="22">
        <f>_xlfn.IFNA(IF(OR(AF4="",AF4=0),"",(VLOOKUP(B5,'น้ำยา-เครื่อง'!$A:$AF,AF4+1,FALSE))),"")</f>
        <v>1</v>
      </c>
      <c r="AG5" s="22">
        <f>_xlfn.IFNA(IF(OR(AG4="",AG4=0),"",(VLOOKUP(B5,'น้ำยา-เครื่อง'!$A:$AF,AG4+1,FALSE))),"")</f>
        <v>1</v>
      </c>
    </row>
    <row r="6" spans="1:33" s="2" customFormat="1" ht="18" x14ac:dyDescent="0.2">
      <c r="A6" s="70" t="s">
        <v>33</v>
      </c>
      <c r="B6" s="27" t="s">
        <v>5</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9"/>
    </row>
    <row r="7" spans="1:33" s="2" customFormat="1" ht="18" x14ac:dyDescent="0.2">
      <c r="A7" s="70"/>
      <c r="B7" s="27" t="s">
        <v>6</v>
      </c>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row>
    <row r="8" spans="1:33" s="2" customFormat="1" ht="18" x14ac:dyDescent="0.2">
      <c r="A8" s="70"/>
      <c r="B8" s="27"/>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row>
    <row r="9" spans="1:33" s="2" customFormat="1" ht="18" x14ac:dyDescent="0.2">
      <c r="A9" s="70"/>
      <c r="B9" s="27" t="s">
        <v>5</v>
      </c>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9"/>
    </row>
    <row r="10" spans="1:33" s="2" customFormat="1" ht="18" x14ac:dyDescent="0.2">
      <c r="A10" s="70"/>
      <c r="B10" s="27" t="s">
        <v>6</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s="2" customFormat="1" ht="18" x14ac:dyDescent="0.2">
      <c r="A11" s="70"/>
      <c r="B11" s="27"/>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row>
    <row r="12" spans="1:33" s="2" customFormat="1" ht="18" x14ac:dyDescent="0.2">
      <c r="A12" s="70"/>
      <c r="B12" s="27" t="s">
        <v>5</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2"/>
      <c r="AC12" s="28"/>
      <c r="AD12" s="28"/>
      <c r="AE12" s="28"/>
      <c r="AF12" s="22"/>
      <c r="AG12" s="28"/>
    </row>
    <row r="13" spans="1:33" s="2" customFormat="1" ht="18" x14ac:dyDescent="0.2">
      <c r="A13" s="70"/>
      <c r="B13" s="27" t="s">
        <v>6</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row>
    <row r="14" spans="1:33" s="2" customFormat="1" ht="18" x14ac:dyDescent="0.2">
      <c r="A14" s="70"/>
      <c r="B14" s="27"/>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row>
    <row r="15" spans="1:33" s="2" customFormat="1" ht="18.75" customHeight="1" x14ac:dyDescent="0.2">
      <c r="A15" s="20" t="s">
        <v>0</v>
      </c>
      <c r="B15" s="21" t="s">
        <v>2</v>
      </c>
      <c r="C15" s="98" t="s">
        <v>333</v>
      </c>
      <c r="D15" s="99"/>
      <c r="E15" s="99"/>
      <c r="F15" s="99"/>
      <c r="G15" s="99"/>
      <c r="H15" s="99"/>
      <c r="I15" s="99"/>
      <c r="J15" s="99"/>
      <c r="K15" s="99"/>
      <c r="L15" s="99"/>
      <c r="M15" s="99"/>
      <c r="N15" s="99"/>
      <c r="O15" s="99"/>
      <c r="P15" s="99"/>
      <c r="Q15" s="99"/>
      <c r="R15" s="99"/>
      <c r="S15" s="99"/>
      <c r="T15" s="99"/>
      <c r="U15" s="99"/>
      <c r="V15" s="99"/>
      <c r="W15" s="99"/>
      <c r="X15" s="99"/>
      <c r="Y15" s="99"/>
      <c r="Z15" s="99"/>
      <c r="AA15" s="99"/>
      <c r="AB15" s="99"/>
      <c r="AC15" s="99"/>
      <c r="AD15" s="99"/>
      <c r="AE15" s="99"/>
      <c r="AF15" s="99"/>
      <c r="AG15" s="99"/>
    </row>
    <row r="16" spans="1:33" s="3" customFormat="1" ht="18" x14ac:dyDescent="0.2">
      <c r="A16" s="23" t="s">
        <v>1</v>
      </c>
      <c r="B16" s="24" t="s">
        <v>3</v>
      </c>
      <c r="C16" s="22">
        <v>1</v>
      </c>
      <c r="D16" s="22">
        <v>2</v>
      </c>
      <c r="E16" s="22">
        <v>3</v>
      </c>
      <c r="F16" s="22">
        <v>4</v>
      </c>
      <c r="G16" s="22">
        <v>5</v>
      </c>
      <c r="H16" s="22">
        <v>6</v>
      </c>
      <c r="I16" s="22">
        <v>7</v>
      </c>
      <c r="J16" s="22">
        <v>8</v>
      </c>
      <c r="K16" s="22">
        <v>9</v>
      </c>
      <c r="L16" s="22">
        <v>10</v>
      </c>
      <c r="M16" s="22">
        <v>11</v>
      </c>
      <c r="N16" s="22">
        <v>12</v>
      </c>
      <c r="O16" s="22">
        <v>13</v>
      </c>
      <c r="P16" s="22">
        <v>14</v>
      </c>
      <c r="Q16" s="22">
        <v>15</v>
      </c>
      <c r="R16" s="22">
        <v>16</v>
      </c>
      <c r="S16" s="22">
        <v>17</v>
      </c>
      <c r="T16" s="22">
        <v>18</v>
      </c>
      <c r="U16" s="22">
        <v>19</v>
      </c>
      <c r="V16" s="22">
        <v>20</v>
      </c>
      <c r="W16" s="22">
        <v>21</v>
      </c>
      <c r="X16" s="22">
        <v>22</v>
      </c>
      <c r="Y16" s="22">
        <v>23</v>
      </c>
      <c r="Z16" s="22">
        <v>24</v>
      </c>
      <c r="AA16" s="22">
        <v>25</v>
      </c>
      <c r="AB16" s="22">
        <v>26</v>
      </c>
      <c r="AC16" s="22">
        <v>27</v>
      </c>
      <c r="AD16" s="22">
        <v>28</v>
      </c>
      <c r="AE16" s="22">
        <v>29</v>
      </c>
      <c r="AF16" s="22">
        <v>30</v>
      </c>
      <c r="AG16" s="22"/>
    </row>
    <row r="17" spans="1:33" s="2" customFormat="1" ht="18" x14ac:dyDescent="0.2">
      <c r="A17" s="25"/>
      <c r="B17" s="26" t="s">
        <v>4</v>
      </c>
      <c r="C17" s="22">
        <f>_xlfn.IFNA(IF(OR(C16="",C16=0),"",(VLOOKUP($B17,'น้ำยา-เครื่อง'!$A$14:$AF$23,C16+1,FALSE))),"")</f>
        <v>0</v>
      </c>
      <c r="D17" s="22">
        <f>_xlfn.IFNA(IF(OR(D16="",D16=0),"",(VLOOKUP($B17,'น้ำยา-เครื่อง'!$A$14:$AF$23,D16+1,FALSE))),"")</f>
        <v>0</v>
      </c>
      <c r="E17" s="22">
        <f>_xlfn.IFNA(IF(OR(E16="",E16=0),"",(VLOOKUP($B17,'น้ำยา-เครื่อง'!$A$14:$AF$23,E16+1,FALSE))),"")</f>
        <v>2</v>
      </c>
      <c r="F17" s="22">
        <f>_xlfn.IFNA(IF(OR(F16="",F16=0),"",(VLOOKUP($B17,'น้ำยา-เครื่อง'!$A$14:$AF$23,F16+1,FALSE))),"")</f>
        <v>2</v>
      </c>
      <c r="G17" s="22">
        <f>_xlfn.IFNA(IF(OR(G16="",G16=0),"",(VLOOKUP($B17,'น้ำยา-เครื่อง'!$A$14:$AF$23,G16+1,FALSE))),"")</f>
        <v>2</v>
      </c>
      <c r="H17" s="22">
        <f>_xlfn.IFNA(IF(OR(H16="",H16=0),"",(VLOOKUP($B17,'น้ำยา-เครื่อง'!$A$14:$AF$23,H16+1,FALSE))),"")</f>
        <v>2</v>
      </c>
      <c r="I17" s="22">
        <f>_xlfn.IFNA(IF(OR(I16="",I16=0),"",(VLOOKUP($B17,'น้ำยา-เครื่อง'!$A$14:$AF$23,I16+1,FALSE))),"")</f>
        <v>2</v>
      </c>
      <c r="J17" s="22">
        <f>_xlfn.IFNA(IF(OR(J16="",J16=0),"",(VLOOKUP($B17,'น้ำยา-เครื่อง'!$A$14:$AF$23,J16+1,FALSE))),"")</f>
        <v>0</v>
      </c>
      <c r="K17" s="22">
        <f>_xlfn.IFNA(IF(OR(K16="",K16=0),"",(VLOOKUP($B17,'น้ำยา-เครื่อง'!$A$14:$AF$23,K16+1,FALSE))),"")</f>
        <v>0</v>
      </c>
      <c r="L17" s="22">
        <f>_xlfn.IFNA(IF(OR(L16="",L16=0),"",(VLOOKUP($B17,'น้ำยา-เครื่อง'!$A$14:$AF$23,L16+1,FALSE))),"")</f>
        <v>1</v>
      </c>
      <c r="M17" s="22">
        <f>_xlfn.IFNA(IF(OR(M16="",M16=0),"",(VLOOKUP($B17,'น้ำยา-เครื่อง'!$A$14:$AF$23,M16+1,FALSE))),"")</f>
        <v>1</v>
      </c>
      <c r="N17" s="22">
        <f>_xlfn.IFNA(IF(OR(N16="",N16=0),"",(VLOOKUP($B17,'น้ำยา-เครื่อง'!$A$14:$AF$23,N16+1,FALSE))),"")</f>
        <v>1</v>
      </c>
      <c r="O17" s="22">
        <f>_xlfn.IFNA(IF(OR(O16="",O16=0),"",(VLOOKUP($B17,'น้ำยา-เครื่อง'!$A$14:$AF$23,O16+1,FALSE))),"")</f>
        <v>1</v>
      </c>
      <c r="P17" s="22">
        <f>_xlfn.IFNA(IF(OR(P16="",P16=0),"",(VLOOKUP($B17,'น้ำยา-เครื่อง'!$A$14:$AF$23,P16+1,FALSE))),"")</f>
        <v>1</v>
      </c>
      <c r="Q17" s="22">
        <f>_xlfn.IFNA(IF(OR(Q16="",Q16=0),"",(VLOOKUP($B17,'น้ำยา-เครื่อง'!$A$14:$AF$23,Q16+1,FALSE))),"")</f>
        <v>0</v>
      </c>
      <c r="R17" s="22">
        <f>_xlfn.IFNA(IF(OR(R16="",R16=0),"",(VLOOKUP($B17,'น้ำยา-เครื่อง'!$A$14:$AF$23,R16+1,FALSE))),"")</f>
        <v>0</v>
      </c>
      <c r="S17" s="22">
        <f>_xlfn.IFNA(IF(OR(S16="",S16=0),"",(VLOOKUP($B17,'น้ำยา-เครื่อง'!$A$14:$AF$23,S16+1,FALSE))),"")</f>
        <v>2</v>
      </c>
      <c r="T17" s="22">
        <f>_xlfn.IFNA(IF(OR(T16="",T16=0),"",(VLOOKUP($B17,'น้ำยา-เครื่อง'!$A$14:$AF$23,T16+1,FALSE))),"")</f>
        <v>2</v>
      </c>
      <c r="U17" s="22">
        <f>_xlfn.IFNA(IF(OR(U16="",U16=0),"",(VLOOKUP($B17,'น้ำยา-เครื่อง'!$A$14:$AF$23,U16+1,FALSE))),"")</f>
        <v>2</v>
      </c>
      <c r="V17" s="22">
        <f>_xlfn.IFNA(IF(OR(V16="",V16=0),"",(VLOOKUP($B17,'น้ำยา-เครื่อง'!$A$14:$AF$23,V16+1,FALSE))),"")</f>
        <v>2</v>
      </c>
      <c r="W17" s="22">
        <f>_xlfn.IFNA(IF(OR(W16="",W16=0),"",(VLOOKUP($B17,'น้ำยา-เครื่อง'!$A$14:$AF$23,W16+1,FALSE))),"")</f>
        <v>2</v>
      </c>
      <c r="X17" s="22">
        <f>_xlfn.IFNA(IF(OR(X16="",X16=0),"",(VLOOKUP($B17,'น้ำยา-เครื่อง'!$A$14:$AF$23,X16+1,FALSE))),"")</f>
        <v>0</v>
      </c>
      <c r="Y17" s="22">
        <f>_xlfn.IFNA(IF(OR(Y16="",Y16=0),"",(VLOOKUP($B17,'น้ำยา-เครื่อง'!$A$14:$AF$23,Y16+1,FALSE))),"")</f>
        <v>0</v>
      </c>
      <c r="Z17" s="22">
        <f>_xlfn.IFNA(IF(OR(Z16="",Z16=0),"",(VLOOKUP($B17,'น้ำยา-เครื่อง'!$A$14:$AF$23,Z16+1,FALSE))),"")</f>
        <v>1</v>
      </c>
      <c r="AA17" s="22">
        <f>_xlfn.IFNA(IF(OR(AA16="",AA16=0),"",(VLOOKUP($B17,'น้ำยา-เครื่อง'!$A$14:$AF$23,AA16+1,FALSE))),"")</f>
        <v>1</v>
      </c>
      <c r="AB17" s="22">
        <f>_xlfn.IFNA(IF(OR(AB16="",AB16=0),"",(VLOOKUP($B17,'น้ำยา-เครื่อง'!$A$14:$AF$23,AB16+1,FALSE))),"")</f>
        <v>1</v>
      </c>
      <c r="AC17" s="22">
        <f>_xlfn.IFNA(IF(OR(AC16="",AC16=0),"",(VLOOKUP($B17,'น้ำยา-เครื่อง'!$A$14:$AF$23,AC16+1,FALSE))),"")</f>
        <v>1</v>
      </c>
      <c r="AD17" s="22">
        <f>_xlfn.IFNA(IF(OR(AD16="",AD16=0),"",(VLOOKUP($B17,'น้ำยา-เครื่อง'!$A$14:$AF$23,AD16+1,FALSE))),"")</f>
        <v>1</v>
      </c>
      <c r="AE17" s="22">
        <f>_xlfn.IFNA(IF(OR(AE16="",AE16=0),"",(VLOOKUP($B17,'น้ำยา-เครื่อง'!$A$14:$AF$23,AE16+1,FALSE))),"")</f>
        <v>0</v>
      </c>
      <c r="AF17" s="22">
        <f>_xlfn.IFNA(IF(OR(AF16="",AF16=0),"",(VLOOKUP($B17,'น้ำยา-เครื่อง'!$A$14:$AF$23,AF16+1,FALSE))),"")</f>
        <v>0</v>
      </c>
      <c r="AG17" s="22" t="str">
        <f>_xlfn.IFNA(IF(OR(AG16="",AG16=0),"",(VLOOKUP($B17,'น้ำยา-เครื่อง'!$A$14:$AF$23,AG16+1,FALSE))),"")</f>
        <v/>
      </c>
    </row>
    <row r="18" spans="1:33" s="2" customFormat="1" ht="18" customHeight="1" x14ac:dyDescent="0.2">
      <c r="A18" s="70" t="s">
        <v>33</v>
      </c>
      <c r="B18" s="27" t="s">
        <v>5</v>
      </c>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2"/>
      <c r="AG18" s="29"/>
    </row>
    <row r="19" spans="1:33" s="2" customFormat="1" ht="18" x14ac:dyDescent="0.2">
      <c r="A19" s="70"/>
      <c r="B19" s="27" t="s">
        <v>6</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row>
    <row r="20" spans="1:33" s="2" customFormat="1" ht="18" x14ac:dyDescent="0.2">
      <c r="A20" s="70"/>
      <c r="B20" s="27"/>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row>
    <row r="21" spans="1:33" s="2" customFormat="1" ht="18" x14ac:dyDescent="0.2">
      <c r="A21" s="70"/>
      <c r="B21" s="27" t="s">
        <v>5</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2"/>
      <c r="AG21" s="29"/>
    </row>
    <row r="22" spans="1:33" s="2" customFormat="1" ht="18" x14ac:dyDescent="0.2">
      <c r="A22" s="70"/>
      <c r="B22" s="27" t="s">
        <v>6</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row>
    <row r="23" spans="1:33" s="2" customFormat="1" ht="18" x14ac:dyDescent="0.2">
      <c r="A23" s="70"/>
      <c r="B23" s="27"/>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row>
    <row r="24" spans="1:33" s="2" customFormat="1" ht="18" x14ac:dyDescent="0.2">
      <c r="A24" s="70"/>
      <c r="B24" s="27" t="s">
        <v>5</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2"/>
      <c r="AC24" s="28"/>
      <c r="AD24" s="28"/>
      <c r="AE24" s="28"/>
      <c r="AF24" s="22"/>
      <c r="AG24" s="28"/>
    </row>
    <row r="25" spans="1:33" s="2" customFormat="1" ht="18" x14ac:dyDescent="0.2">
      <c r="A25" s="70"/>
      <c r="B25" s="27" t="s">
        <v>6</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row>
    <row r="26" spans="1:33" s="2" customFormat="1" ht="18" x14ac:dyDescent="0.2">
      <c r="A26" s="70"/>
      <c r="B26" s="27"/>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row>
    <row r="27" spans="1:33" s="4" customFormat="1" ht="18" x14ac:dyDescent="0.4">
      <c r="A27" s="4" t="s">
        <v>219</v>
      </c>
      <c r="U27" s="10"/>
      <c r="V27" s="10"/>
      <c r="W27" s="71" t="s">
        <v>186</v>
      </c>
      <c r="X27" s="71"/>
      <c r="Y27" s="71"/>
      <c r="Z27" s="71"/>
      <c r="AA27" s="71"/>
      <c r="AB27" s="71"/>
      <c r="AC27" s="71"/>
      <c r="AD27" s="10"/>
      <c r="AE27" s="10"/>
      <c r="AF27" s="10"/>
      <c r="AG27" s="10"/>
    </row>
    <row r="28" spans="1:33" s="4" customFormat="1" ht="18" x14ac:dyDescent="0.4">
      <c r="A28" s="7"/>
      <c r="B28" s="7"/>
      <c r="C28" s="7"/>
      <c r="D28" s="7"/>
      <c r="E28" s="7"/>
      <c r="F28" s="7"/>
      <c r="G28" s="7"/>
      <c r="H28" s="7"/>
      <c r="I28" s="7"/>
      <c r="J28" s="7"/>
      <c r="K28" s="7"/>
      <c r="L28" s="7"/>
      <c r="M28" s="7"/>
      <c r="N28" s="7"/>
      <c r="O28" s="7"/>
      <c r="P28" s="7"/>
      <c r="Q28" s="7"/>
      <c r="R28" s="7"/>
      <c r="S28" s="7"/>
      <c r="T28" s="7"/>
      <c r="U28" s="38"/>
      <c r="V28" s="38"/>
      <c r="W28" s="7"/>
      <c r="X28" s="7"/>
      <c r="Y28" s="7"/>
      <c r="Z28" s="7"/>
      <c r="AA28" s="7"/>
      <c r="AB28" s="7"/>
      <c r="AC28" s="7"/>
      <c r="AD28" s="7"/>
      <c r="AE28" s="7"/>
      <c r="AF28" s="7"/>
      <c r="AG28" s="7"/>
    </row>
    <row r="29" spans="1:33" s="4" customFormat="1" ht="18" x14ac:dyDescent="0.4">
      <c r="A29" s="9"/>
      <c r="B29" s="9"/>
      <c r="C29" s="9"/>
      <c r="D29" s="9"/>
      <c r="E29" s="9"/>
      <c r="F29" s="9"/>
      <c r="G29" s="9"/>
      <c r="H29" s="9"/>
      <c r="I29" s="9"/>
      <c r="J29" s="9"/>
      <c r="K29" s="9"/>
      <c r="L29" s="9"/>
      <c r="M29" s="9"/>
      <c r="N29" s="9"/>
      <c r="O29" s="9"/>
      <c r="P29" s="72" t="s">
        <v>28</v>
      </c>
      <c r="Q29" s="72"/>
      <c r="R29" s="73" t="s">
        <v>37</v>
      </c>
      <c r="S29" s="73"/>
      <c r="T29" s="73"/>
      <c r="U29" s="97" t="s">
        <v>221</v>
      </c>
      <c r="V29" s="97"/>
      <c r="W29" s="73" t="s">
        <v>38</v>
      </c>
      <c r="X29" s="73"/>
      <c r="Y29" s="73"/>
      <c r="Z29" s="8" t="s">
        <v>29</v>
      </c>
      <c r="AA29" s="74">
        <v>46204</v>
      </c>
      <c r="AB29" s="73"/>
      <c r="AC29" s="73"/>
      <c r="AD29" s="9"/>
      <c r="AE29" s="73"/>
      <c r="AF29" s="73"/>
      <c r="AG29" s="73"/>
    </row>
    <row r="31" spans="1:33" ht="23.25" x14ac:dyDescent="0.5">
      <c r="A31" s="80" t="s">
        <v>210</v>
      </c>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row>
    <row r="32" spans="1:33" s="1" customFormat="1" ht="21" x14ac:dyDescent="0.45">
      <c r="A32" s="6" t="s">
        <v>22</v>
      </c>
      <c r="B32" s="81" t="s">
        <v>36</v>
      </c>
      <c r="C32" s="81"/>
      <c r="D32" s="81"/>
      <c r="E32" s="81"/>
      <c r="F32" s="81"/>
      <c r="G32" s="81"/>
      <c r="H32" s="6" t="s">
        <v>24</v>
      </c>
      <c r="I32" s="81" t="s">
        <v>34</v>
      </c>
      <c r="J32" s="81"/>
      <c r="K32" s="81"/>
      <c r="L32" s="81"/>
      <c r="M32" s="83" t="s">
        <v>25</v>
      </c>
      <c r="N32" s="83"/>
      <c r="O32" s="81" t="s">
        <v>19</v>
      </c>
      <c r="P32" s="81"/>
      <c r="Q32" s="81"/>
      <c r="R32" s="81"/>
      <c r="S32" s="81"/>
      <c r="T32" s="6" t="s">
        <v>20</v>
      </c>
      <c r="U32" s="101">
        <f>$U$2</f>
        <v>2569</v>
      </c>
      <c r="V32" s="101"/>
      <c r="W32" s="83" t="s">
        <v>35</v>
      </c>
      <c r="X32" s="83"/>
      <c r="Y32" s="83"/>
      <c r="Z32" s="1" t="s">
        <v>227</v>
      </c>
    </row>
    <row r="33" spans="1:33" ht="18" x14ac:dyDescent="0.2">
      <c r="A33" s="20" t="s">
        <v>0</v>
      </c>
      <c r="B33" s="21" t="s">
        <v>2</v>
      </c>
      <c r="C33" s="98" t="str">
        <f>C3</f>
        <v>เดือน กรกฏาคม</v>
      </c>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row>
    <row r="34" spans="1:33" ht="18" x14ac:dyDescent="0.2">
      <c r="A34" s="23" t="s">
        <v>1</v>
      </c>
      <c r="B34" s="24" t="s">
        <v>3</v>
      </c>
      <c r="C34" s="22">
        <f>C4</f>
        <v>1</v>
      </c>
      <c r="D34" s="22">
        <f>D4</f>
        <v>2</v>
      </c>
      <c r="E34" s="22">
        <f t="shared" ref="E34:AG34" si="0">E4</f>
        <v>3</v>
      </c>
      <c r="F34" s="22">
        <f t="shared" si="0"/>
        <v>4</v>
      </c>
      <c r="G34" s="22">
        <f t="shared" si="0"/>
        <v>5</v>
      </c>
      <c r="H34" s="22">
        <f t="shared" si="0"/>
        <v>6</v>
      </c>
      <c r="I34" s="22">
        <f t="shared" si="0"/>
        <v>7</v>
      </c>
      <c r="J34" s="22">
        <f t="shared" si="0"/>
        <v>8</v>
      </c>
      <c r="K34" s="22">
        <f t="shared" si="0"/>
        <v>9</v>
      </c>
      <c r="L34" s="22">
        <f t="shared" si="0"/>
        <v>10</v>
      </c>
      <c r="M34" s="22">
        <f t="shared" si="0"/>
        <v>11</v>
      </c>
      <c r="N34" s="22">
        <f t="shared" si="0"/>
        <v>12</v>
      </c>
      <c r="O34" s="22">
        <f t="shared" si="0"/>
        <v>13</v>
      </c>
      <c r="P34" s="22">
        <f t="shared" si="0"/>
        <v>14</v>
      </c>
      <c r="Q34" s="22">
        <f t="shared" si="0"/>
        <v>15</v>
      </c>
      <c r="R34" s="22">
        <f t="shared" si="0"/>
        <v>16</v>
      </c>
      <c r="S34" s="22">
        <f t="shared" si="0"/>
        <v>17</v>
      </c>
      <c r="T34" s="22">
        <f t="shared" si="0"/>
        <v>18</v>
      </c>
      <c r="U34" s="22">
        <f t="shared" si="0"/>
        <v>19</v>
      </c>
      <c r="V34" s="22">
        <f t="shared" si="0"/>
        <v>20</v>
      </c>
      <c r="W34" s="22">
        <f t="shared" si="0"/>
        <v>21</v>
      </c>
      <c r="X34" s="22">
        <f t="shared" si="0"/>
        <v>22</v>
      </c>
      <c r="Y34" s="22">
        <f t="shared" si="0"/>
        <v>23</v>
      </c>
      <c r="Z34" s="22">
        <f t="shared" si="0"/>
        <v>24</v>
      </c>
      <c r="AA34" s="22">
        <f t="shared" si="0"/>
        <v>25</v>
      </c>
      <c r="AB34" s="22">
        <f t="shared" si="0"/>
        <v>26</v>
      </c>
      <c r="AC34" s="22">
        <f t="shared" si="0"/>
        <v>27</v>
      </c>
      <c r="AD34" s="22">
        <f t="shared" si="0"/>
        <v>28</v>
      </c>
      <c r="AE34" s="22">
        <f t="shared" si="0"/>
        <v>29</v>
      </c>
      <c r="AF34" s="22">
        <f t="shared" si="0"/>
        <v>30</v>
      </c>
      <c r="AG34" s="22">
        <f t="shared" si="0"/>
        <v>31</v>
      </c>
    </row>
    <row r="35" spans="1:33" ht="18" x14ac:dyDescent="0.2">
      <c r="A35" s="25"/>
      <c r="B35" s="26" t="s">
        <v>4</v>
      </c>
      <c r="C35" s="22">
        <f>_xlfn.IFNA(IF(OR(C34="",C34=0),"",(VLOOKUP(B35,'น้ำยา-เครื่อง'!$A:$AF,C34+1,FALSE))),"")</f>
        <v>1</v>
      </c>
      <c r="D35" s="22">
        <f>_xlfn.IFNA(IF(OR(D34="",D34=0),"",(VLOOKUP(B35,'น้ำยา-เครื่อง'!$A:$AF,D34+1,FALSE))),"")</f>
        <v>1</v>
      </c>
      <c r="E35" s="22">
        <f>_xlfn.IFNA(IF(OR(E34="",E34=0),"",(VLOOKUP(B35,'น้ำยา-เครื่อง'!$A:$AF,E34+1,FALSE))),"")</f>
        <v>1</v>
      </c>
      <c r="F35" s="22">
        <f>_xlfn.IFNA(IF(OR(F34="",F34=0),"",(VLOOKUP(B35,'น้ำยา-เครื่อง'!$A:$AF,F34+1,FALSE))),"")</f>
        <v>0</v>
      </c>
      <c r="G35" s="22">
        <f>_xlfn.IFNA(IF(OR(G34="",G34=0),"",(VLOOKUP(B35,'น้ำยา-เครื่อง'!$A:$AF,G34+1,FALSE))),"")</f>
        <v>0</v>
      </c>
      <c r="H35" s="22">
        <f>_xlfn.IFNA(IF(OR(H34="",H34=0),"",(VLOOKUP(B35,'น้ำยา-เครื่อง'!$A:$AF,H34+1,FALSE))),"")</f>
        <v>2</v>
      </c>
      <c r="I35" s="22">
        <f>_xlfn.IFNA(IF(OR(I34="",I34=0),"",(VLOOKUP(B35,'น้ำยา-เครื่อง'!$A:$AF,I34+1,FALSE))),"")</f>
        <v>2</v>
      </c>
      <c r="J35" s="22">
        <f>_xlfn.IFNA(IF(OR(J34="",J34=0),"",(VLOOKUP(B35,'น้ำยา-เครื่อง'!$A:$AF,J34+1,FALSE))),"")</f>
        <v>2</v>
      </c>
      <c r="K35" s="22">
        <f>_xlfn.IFNA(IF(OR(K34="",K34=0),"",(VLOOKUP(B35,'น้ำยา-เครื่อง'!$A:$AF,K34+1,FALSE))),"")</f>
        <v>2</v>
      </c>
      <c r="L35" s="22">
        <f>_xlfn.IFNA(IF(OR(L34="",L34=0),"",(VLOOKUP(B35,'น้ำยา-เครื่อง'!$A:$AF,L34+1,FALSE))),"")</f>
        <v>2</v>
      </c>
      <c r="M35" s="22">
        <f>_xlfn.IFNA(IF(OR(M34="",M34=0),"",(VLOOKUP(B35,'น้ำยา-เครื่อง'!$A:$AF,M34+1,FALSE))),"")</f>
        <v>0</v>
      </c>
      <c r="N35" s="22">
        <f>_xlfn.IFNA(IF(OR(N34="",N34=0),"",(VLOOKUP(B35,'น้ำยา-เครื่อง'!$A:$AF,N34+1,FALSE))),"")</f>
        <v>0</v>
      </c>
      <c r="O35" s="22">
        <f>_xlfn.IFNA(IF(OR(O34="",O34=0),"",(VLOOKUP(B35,'น้ำยา-เครื่อง'!$A:$AF,O34+1,FALSE))),"")</f>
        <v>1</v>
      </c>
      <c r="P35" s="22">
        <f>_xlfn.IFNA(IF(OR(P34="",P34=0),"",(VLOOKUP(B35,'น้ำยา-เครื่อง'!$A:$AF,P34+1,FALSE))),"")</f>
        <v>1</v>
      </c>
      <c r="Q35" s="22">
        <f>_xlfn.IFNA(IF(OR(Q34="",Q34=0),"",(VLOOKUP(B35,'น้ำยา-เครื่อง'!$A:$AF,Q34+1,FALSE))),"")</f>
        <v>1</v>
      </c>
      <c r="R35" s="22">
        <f>_xlfn.IFNA(IF(OR(R34="",R34=0),"",(VLOOKUP(B35,'น้ำยา-เครื่อง'!$A:$AF,R34+1,FALSE))),"")</f>
        <v>1</v>
      </c>
      <c r="S35" s="22">
        <f>_xlfn.IFNA(IF(OR(S34="",S34=0),"",(VLOOKUP(B35,'น้ำยา-เครื่อง'!$A:$AF,S34+1,FALSE))),"")</f>
        <v>1</v>
      </c>
      <c r="T35" s="22">
        <f>_xlfn.IFNA(IF(OR(T34="",T34=0),"",(VLOOKUP(B35,'น้ำยา-เครื่อง'!$A:$AF,T34+1,FALSE))),"")</f>
        <v>0</v>
      </c>
      <c r="U35" s="22">
        <f>_xlfn.IFNA(IF(OR(U34="",U34=0),"",(VLOOKUP(B35,'น้ำยา-เครื่อง'!$A:$AF,U34+1,FALSE))),"")</f>
        <v>0</v>
      </c>
      <c r="V35" s="22">
        <f>_xlfn.IFNA(IF(OR(V34="",V34=0),"",(VLOOKUP(B35,'น้ำยา-เครื่อง'!$A:$AF,V34+1,FALSE))),"")</f>
        <v>2</v>
      </c>
      <c r="W35" s="22">
        <f>_xlfn.IFNA(IF(OR(W34="",W34=0),"",(VLOOKUP(B35,'น้ำยา-เครื่อง'!$A:$AF,W34+1,FALSE))),"")</f>
        <v>2</v>
      </c>
      <c r="X35" s="22">
        <f>_xlfn.IFNA(IF(OR(X34="",X34=0),"",(VLOOKUP(B35,'น้ำยา-เครื่อง'!$A:$AF,X34+1,FALSE))),"")</f>
        <v>2</v>
      </c>
      <c r="Y35" s="22">
        <f>_xlfn.IFNA(IF(OR(Y34="",Y34=0),"",(VLOOKUP(B35,'น้ำยา-เครื่อง'!$A:$AF,Y34+1,FALSE))),"")</f>
        <v>2</v>
      </c>
      <c r="Z35" s="22">
        <f>_xlfn.IFNA(IF(OR(Z34="",Z34=0),"",(VLOOKUP(B35,'น้ำยา-เครื่อง'!$A:$AF,Z34+1,FALSE))),"")</f>
        <v>2</v>
      </c>
      <c r="AA35" s="22">
        <f>_xlfn.IFNA(IF(OR(AA34="",AA34=0),"",(VLOOKUP(B35,'น้ำยา-เครื่อง'!$A:$AF,AA34+1,FALSE))),"")</f>
        <v>0</v>
      </c>
      <c r="AB35" s="22">
        <f>_xlfn.IFNA(IF(OR(AB34="",AB34=0),"",(VLOOKUP(B35,'น้ำยา-เครื่อง'!$A:$AF,AB34+1,FALSE))),"")</f>
        <v>0</v>
      </c>
      <c r="AC35" s="22">
        <f>_xlfn.IFNA(IF(OR(AC34="",AC34=0),"",(VLOOKUP(B35,'น้ำยา-เครื่อง'!$A:$AF,AC34+1,FALSE))),"")</f>
        <v>1</v>
      </c>
      <c r="AD35" s="22">
        <f>_xlfn.IFNA(IF(OR(AD34="",AD34=0),"",(VLOOKUP(B35,'น้ำยา-เครื่อง'!$A:$AF,AD34+1,FALSE))),"")</f>
        <v>1</v>
      </c>
      <c r="AE35" s="22">
        <f>_xlfn.IFNA(IF(OR(AE34="",AE34=0),"",(VLOOKUP(B35,'น้ำยา-เครื่อง'!$A:$AF,AE34+1,FALSE))),"")</f>
        <v>1</v>
      </c>
      <c r="AF35" s="22">
        <f>_xlfn.IFNA(IF(OR(AF34="",AF34=0),"",(VLOOKUP(B35,'น้ำยา-เครื่อง'!$A:$AF,AF34+1,FALSE))),"")</f>
        <v>1</v>
      </c>
      <c r="AG35" s="22">
        <f>_xlfn.IFNA(IF(OR(AG34="",AG34=0),"",(VLOOKUP(B35,'น้ำยา-เครื่อง'!$A:$AF,AG34+1,FALSE))),"")</f>
        <v>1</v>
      </c>
    </row>
    <row r="36" spans="1:33" ht="18" customHeight="1" x14ac:dyDescent="0.2">
      <c r="A36" s="70" t="s">
        <v>33</v>
      </c>
      <c r="B36" s="27" t="s">
        <v>5</v>
      </c>
      <c r="C36" s="28"/>
      <c r="D36" s="28"/>
      <c r="E36" s="28"/>
      <c r="F36" s="28"/>
      <c r="G36" s="29"/>
      <c r="H36" s="28"/>
      <c r="I36" s="28"/>
      <c r="J36" s="28"/>
      <c r="K36" s="29"/>
      <c r="L36" s="28"/>
      <c r="M36" s="28"/>
      <c r="N36" s="28"/>
      <c r="O36" s="28"/>
      <c r="P36" s="29"/>
      <c r="Q36" s="28"/>
      <c r="R36" s="28"/>
      <c r="S36" s="28"/>
      <c r="T36" s="29"/>
      <c r="U36" s="28"/>
      <c r="V36" s="28"/>
      <c r="W36" s="28"/>
      <c r="X36" s="28"/>
      <c r="Y36" s="29"/>
      <c r="Z36" s="28"/>
      <c r="AA36" s="28"/>
      <c r="AB36" s="22"/>
      <c r="AC36" s="29"/>
      <c r="AD36" s="28"/>
      <c r="AE36" s="28"/>
      <c r="AF36" s="22"/>
      <c r="AG36" s="29"/>
    </row>
    <row r="37" spans="1:33" ht="18" x14ac:dyDescent="0.2">
      <c r="A37" s="70"/>
      <c r="B37" s="27" t="s">
        <v>6</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row>
    <row r="38" spans="1:33" ht="18" x14ac:dyDescent="0.2">
      <c r="A38" s="70"/>
      <c r="B38" s="27"/>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row>
    <row r="39" spans="1:33" ht="18" x14ac:dyDescent="0.2">
      <c r="A39" s="70" t="s">
        <v>194</v>
      </c>
      <c r="B39" s="27" t="s">
        <v>5</v>
      </c>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2"/>
      <c r="AC39" s="28"/>
      <c r="AD39" s="28"/>
      <c r="AE39" s="28"/>
      <c r="AF39" s="22"/>
      <c r="AG39" s="28"/>
    </row>
    <row r="40" spans="1:33" ht="18" x14ac:dyDescent="0.2">
      <c r="A40" s="70"/>
      <c r="B40" s="27" t="s">
        <v>6</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row>
    <row r="41" spans="1:33" ht="18" x14ac:dyDescent="0.2">
      <c r="A41" s="70"/>
      <c r="B41" s="27"/>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row>
    <row r="42" spans="1:33" ht="18" x14ac:dyDescent="0.2">
      <c r="A42" s="70" t="s">
        <v>193</v>
      </c>
      <c r="B42" s="27" t="s">
        <v>5</v>
      </c>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2"/>
      <c r="AC42" s="28"/>
      <c r="AD42" s="28"/>
      <c r="AE42" s="28"/>
      <c r="AF42" s="22"/>
      <c r="AG42" s="28"/>
    </row>
    <row r="43" spans="1:33" ht="18" x14ac:dyDescent="0.2">
      <c r="A43" s="70"/>
      <c r="B43" s="27" t="s">
        <v>6</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row>
    <row r="44" spans="1:33" ht="18" x14ac:dyDescent="0.2">
      <c r="A44" s="70"/>
      <c r="B44" s="27"/>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row>
    <row r="45" spans="1:33" ht="18" x14ac:dyDescent="0.2">
      <c r="A45" s="20" t="s">
        <v>0</v>
      </c>
      <c r="B45" s="21" t="s">
        <v>2</v>
      </c>
      <c r="C45" s="98" t="str">
        <f>C15</f>
        <v>เดือน สิงหาคม</v>
      </c>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row>
    <row r="46" spans="1:33" ht="18" x14ac:dyDescent="0.2">
      <c r="A46" s="23" t="s">
        <v>1</v>
      </c>
      <c r="B46" s="24" t="s">
        <v>3</v>
      </c>
      <c r="C46" s="22">
        <f>C16</f>
        <v>1</v>
      </c>
      <c r="D46" s="22">
        <f t="shared" ref="D46:AG46" si="1">D16</f>
        <v>2</v>
      </c>
      <c r="E46" s="22">
        <f t="shared" si="1"/>
        <v>3</v>
      </c>
      <c r="F46" s="22">
        <f t="shared" si="1"/>
        <v>4</v>
      </c>
      <c r="G46" s="22">
        <f t="shared" si="1"/>
        <v>5</v>
      </c>
      <c r="H46" s="22">
        <f t="shared" si="1"/>
        <v>6</v>
      </c>
      <c r="I46" s="22">
        <f t="shared" si="1"/>
        <v>7</v>
      </c>
      <c r="J46" s="22">
        <f t="shared" si="1"/>
        <v>8</v>
      </c>
      <c r="K46" s="22">
        <f t="shared" si="1"/>
        <v>9</v>
      </c>
      <c r="L46" s="22">
        <f t="shared" si="1"/>
        <v>10</v>
      </c>
      <c r="M46" s="22">
        <f t="shared" si="1"/>
        <v>11</v>
      </c>
      <c r="N46" s="22">
        <f t="shared" si="1"/>
        <v>12</v>
      </c>
      <c r="O46" s="22">
        <f t="shared" si="1"/>
        <v>13</v>
      </c>
      <c r="P46" s="22">
        <f t="shared" si="1"/>
        <v>14</v>
      </c>
      <c r="Q46" s="22">
        <f t="shared" si="1"/>
        <v>15</v>
      </c>
      <c r="R46" s="22">
        <f t="shared" si="1"/>
        <v>16</v>
      </c>
      <c r="S46" s="22">
        <f t="shared" si="1"/>
        <v>17</v>
      </c>
      <c r="T46" s="22">
        <f t="shared" si="1"/>
        <v>18</v>
      </c>
      <c r="U46" s="22">
        <f t="shared" si="1"/>
        <v>19</v>
      </c>
      <c r="V46" s="22">
        <f t="shared" si="1"/>
        <v>20</v>
      </c>
      <c r="W46" s="22">
        <f t="shared" si="1"/>
        <v>21</v>
      </c>
      <c r="X46" s="22">
        <f t="shared" si="1"/>
        <v>22</v>
      </c>
      <c r="Y46" s="22">
        <f t="shared" si="1"/>
        <v>23</v>
      </c>
      <c r="Z46" s="22">
        <f t="shared" si="1"/>
        <v>24</v>
      </c>
      <c r="AA46" s="22">
        <f t="shared" si="1"/>
        <v>25</v>
      </c>
      <c r="AB46" s="22">
        <f t="shared" si="1"/>
        <v>26</v>
      </c>
      <c r="AC46" s="22">
        <f t="shared" si="1"/>
        <v>27</v>
      </c>
      <c r="AD46" s="22">
        <f t="shared" si="1"/>
        <v>28</v>
      </c>
      <c r="AE46" s="22">
        <f t="shared" si="1"/>
        <v>29</v>
      </c>
      <c r="AF46" s="22">
        <f t="shared" si="1"/>
        <v>30</v>
      </c>
      <c r="AG46" s="22">
        <f t="shared" si="1"/>
        <v>0</v>
      </c>
    </row>
    <row r="47" spans="1:33" ht="18" x14ac:dyDescent="0.2">
      <c r="A47" s="25"/>
      <c r="B47" s="26" t="s">
        <v>4</v>
      </c>
      <c r="C47" s="22">
        <f>_xlfn.IFNA(IF(OR(C46="",C46=0),"",(VLOOKUP($B47,'น้ำยา-เครื่อง'!$A$14:$AF$23,C46+1,FALSE))),"")</f>
        <v>0</v>
      </c>
      <c r="D47" s="22">
        <f>_xlfn.IFNA(IF(OR(D46="",D46=0),"",(VLOOKUP($B47,'น้ำยา-เครื่อง'!$A$14:$AF$23,D46+1,FALSE))),"")</f>
        <v>0</v>
      </c>
      <c r="E47" s="22">
        <f>_xlfn.IFNA(IF(OR(E46="",E46=0),"",(VLOOKUP($B47,'น้ำยา-เครื่อง'!$A$14:$AF$23,E46+1,FALSE))),"")</f>
        <v>2</v>
      </c>
      <c r="F47" s="22">
        <f>_xlfn.IFNA(IF(OR(F46="",F46=0),"",(VLOOKUP($B47,'น้ำยา-เครื่อง'!$A$14:$AF$23,F46+1,FALSE))),"")</f>
        <v>2</v>
      </c>
      <c r="G47" s="22">
        <f>_xlfn.IFNA(IF(OR(G46="",G46=0),"",(VLOOKUP($B47,'น้ำยา-เครื่อง'!$A$14:$AF$23,G46+1,FALSE))),"")</f>
        <v>2</v>
      </c>
      <c r="H47" s="22">
        <f>_xlfn.IFNA(IF(OR(H46="",H46=0),"",(VLOOKUP($B47,'น้ำยา-เครื่อง'!$A$14:$AF$23,H46+1,FALSE))),"")</f>
        <v>2</v>
      </c>
      <c r="I47" s="22">
        <f>_xlfn.IFNA(IF(OR(I46="",I46=0),"",(VLOOKUP($B47,'น้ำยา-เครื่อง'!$A$14:$AF$23,I46+1,FALSE))),"")</f>
        <v>2</v>
      </c>
      <c r="J47" s="22">
        <f>_xlfn.IFNA(IF(OR(J46="",J46=0),"",(VLOOKUP($B47,'น้ำยา-เครื่อง'!$A$14:$AF$23,J46+1,FALSE))),"")</f>
        <v>0</v>
      </c>
      <c r="K47" s="22">
        <f>_xlfn.IFNA(IF(OR(K46="",K46=0),"",(VLOOKUP($B47,'น้ำยา-เครื่อง'!$A$14:$AF$23,K46+1,FALSE))),"")</f>
        <v>0</v>
      </c>
      <c r="L47" s="22">
        <f>_xlfn.IFNA(IF(OR(L46="",L46=0),"",(VLOOKUP($B47,'น้ำยา-เครื่อง'!$A$14:$AF$23,L46+1,FALSE))),"")</f>
        <v>1</v>
      </c>
      <c r="M47" s="22">
        <f>_xlfn.IFNA(IF(OR(M46="",M46=0),"",(VLOOKUP($B47,'น้ำยา-เครื่อง'!$A$14:$AF$23,M46+1,FALSE))),"")</f>
        <v>1</v>
      </c>
      <c r="N47" s="22">
        <f>_xlfn.IFNA(IF(OR(N46="",N46=0),"",(VLOOKUP($B47,'น้ำยา-เครื่อง'!$A$14:$AF$23,N46+1,FALSE))),"")</f>
        <v>1</v>
      </c>
      <c r="O47" s="22">
        <f>_xlfn.IFNA(IF(OR(O46="",O46=0),"",(VLOOKUP($B47,'น้ำยา-เครื่อง'!$A$14:$AF$23,O46+1,FALSE))),"")</f>
        <v>1</v>
      </c>
      <c r="P47" s="22">
        <f>_xlfn.IFNA(IF(OR(P46="",P46=0),"",(VLOOKUP($B47,'น้ำยา-เครื่อง'!$A$14:$AF$23,P46+1,FALSE))),"")</f>
        <v>1</v>
      </c>
      <c r="Q47" s="22">
        <f>_xlfn.IFNA(IF(OR(Q46="",Q46=0),"",(VLOOKUP($B47,'น้ำยา-เครื่อง'!$A$14:$AF$23,Q46+1,FALSE))),"")</f>
        <v>0</v>
      </c>
      <c r="R47" s="22">
        <f>_xlfn.IFNA(IF(OR(R46="",R46=0),"",(VLOOKUP($B47,'น้ำยา-เครื่อง'!$A$14:$AF$23,R46+1,FALSE))),"")</f>
        <v>0</v>
      </c>
      <c r="S47" s="22">
        <f>_xlfn.IFNA(IF(OR(S46="",S46=0),"",(VLOOKUP($B47,'น้ำยา-เครื่อง'!$A$14:$AF$23,S46+1,FALSE))),"")</f>
        <v>2</v>
      </c>
      <c r="T47" s="22">
        <f>_xlfn.IFNA(IF(OR(T46="",T46=0),"",(VLOOKUP($B47,'น้ำยา-เครื่อง'!$A$14:$AF$23,T46+1,FALSE))),"")</f>
        <v>2</v>
      </c>
      <c r="U47" s="22">
        <f>_xlfn.IFNA(IF(OR(U46="",U46=0),"",(VLOOKUP($B47,'น้ำยา-เครื่อง'!$A$14:$AF$23,U46+1,FALSE))),"")</f>
        <v>2</v>
      </c>
      <c r="V47" s="22">
        <f>_xlfn.IFNA(IF(OR(V46="",V46=0),"",(VLOOKUP($B47,'น้ำยา-เครื่อง'!$A$14:$AF$23,V46+1,FALSE))),"")</f>
        <v>2</v>
      </c>
      <c r="W47" s="22">
        <f>_xlfn.IFNA(IF(OR(W46="",W46=0),"",(VLOOKUP($B47,'น้ำยา-เครื่อง'!$A$14:$AF$23,W46+1,FALSE))),"")</f>
        <v>2</v>
      </c>
      <c r="X47" s="22">
        <f>_xlfn.IFNA(IF(OR(X46="",X46=0),"",(VLOOKUP($B47,'น้ำยา-เครื่อง'!$A$14:$AF$23,X46+1,FALSE))),"")</f>
        <v>0</v>
      </c>
      <c r="Y47" s="22">
        <f>_xlfn.IFNA(IF(OR(Y46="",Y46=0),"",(VLOOKUP($B47,'น้ำยา-เครื่อง'!$A$14:$AF$23,Y46+1,FALSE))),"")</f>
        <v>0</v>
      </c>
      <c r="Z47" s="22">
        <f>_xlfn.IFNA(IF(OR(Z46="",Z46=0),"",(VLOOKUP($B47,'น้ำยา-เครื่อง'!$A$14:$AF$23,Z46+1,FALSE))),"")</f>
        <v>1</v>
      </c>
      <c r="AA47" s="22">
        <f>_xlfn.IFNA(IF(OR(AA46="",AA46=0),"",(VLOOKUP($B47,'น้ำยา-เครื่อง'!$A$14:$AF$23,AA46+1,FALSE))),"")</f>
        <v>1</v>
      </c>
      <c r="AB47" s="22">
        <f>_xlfn.IFNA(IF(OR(AB46="",AB46=0),"",(VLOOKUP($B47,'น้ำยา-เครื่อง'!$A$14:$AF$23,AB46+1,FALSE))),"")</f>
        <v>1</v>
      </c>
      <c r="AC47" s="22">
        <f>_xlfn.IFNA(IF(OR(AC46="",AC46=0),"",(VLOOKUP($B47,'น้ำยา-เครื่อง'!$A$14:$AF$23,AC46+1,FALSE))),"")</f>
        <v>1</v>
      </c>
      <c r="AD47" s="22">
        <f>_xlfn.IFNA(IF(OR(AD46="",AD46=0),"",(VLOOKUP($B47,'น้ำยา-เครื่อง'!$A$14:$AF$23,AD46+1,FALSE))),"")</f>
        <v>1</v>
      </c>
      <c r="AE47" s="22">
        <f>_xlfn.IFNA(IF(OR(AE46="",AE46=0),"",(VLOOKUP($B47,'น้ำยา-เครื่อง'!$A$14:$AF$23,AE46+1,FALSE))),"")</f>
        <v>0</v>
      </c>
      <c r="AF47" s="22">
        <f>_xlfn.IFNA(IF(OR(AF46="",AF46=0),"",(VLOOKUP($B47,'น้ำยา-เครื่อง'!$A$14:$AF$23,AF46+1,FALSE))),"")</f>
        <v>0</v>
      </c>
      <c r="AG47" s="22" t="str">
        <f>_xlfn.IFNA(IF(OR(AG46="",AG46=0),"",(VLOOKUP($B47,'น้ำยา-เครื่อง'!$A$14:$AF$23,AG46+1,FALSE))),"")</f>
        <v/>
      </c>
    </row>
    <row r="48" spans="1:33" ht="18" customHeight="1" x14ac:dyDescent="0.2">
      <c r="A48" s="70" t="s">
        <v>33</v>
      </c>
      <c r="B48" s="27" t="s">
        <v>5</v>
      </c>
      <c r="C48" s="28"/>
      <c r="D48" s="28"/>
      <c r="E48" s="28"/>
      <c r="F48" s="28"/>
      <c r="G48" s="29"/>
      <c r="H48" s="28"/>
      <c r="I48" s="28"/>
      <c r="J48" s="28"/>
      <c r="K48" s="29"/>
      <c r="L48" s="28"/>
      <c r="M48" s="28"/>
      <c r="N48" s="28"/>
      <c r="O48" s="28"/>
      <c r="P48" s="29"/>
      <c r="Q48" s="28"/>
      <c r="R48" s="28"/>
      <c r="S48" s="28"/>
      <c r="T48" s="29"/>
      <c r="U48" s="28"/>
      <c r="V48" s="28"/>
      <c r="W48" s="28"/>
      <c r="X48" s="28"/>
      <c r="Y48" s="29"/>
      <c r="Z48" s="28"/>
      <c r="AA48" s="28"/>
      <c r="AB48" s="22"/>
      <c r="AC48" s="29"/>
      <c r="AD48" s="28"/>
      <c r="AE48" s="28"/>
      <c r="AF48" s="22"/>
      <c r="AG48" s="29"/>
    </row>
    <row r="49" spans="1:33" ht="18" x14ac:dyDescent="0.2">
      <c r="A49" s="70"/>
      <c r="B49" s="27" t="s">
        <v>6</v>
      </c>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row>
    <row r="50" spans="1:33" ht="18" x14ac:dyDescent="0.2">
      <c r="A50" s="70"/>
      <c r="B50" s="27"/>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row>
    <row r="51" spans="1:33" ht="18" x14ac:dyDescent="0.2">
      <c r="A51" s="70" t="s">
        <v>194</v>
      </c>
      <c r="B51" s="27" t="s">
        <v>5</v>
      </c>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2"/>
      <c r="AC51" s="28"/>
      <c r="AD51" s="28"/>
      <c r="AE51" s="28"/>
      <c r="AF51" s="22"/>
      <c r="AG51" s="28"/>
    </row>
    <row r="52" spans="1:33" ht="18" x14ac:dyDescent="0.2">
      <c r="A52" s="70"/>
      <c r="B52" s="27" t="s">
        <v>6</v>
      </c>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row>
    <row r="53" spans="1:33" ht="18" x14ac:dyDescent="0.2">
      <c r="A53" s="70"/>
      <c r="B53" s="27"/>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row>
    <row r="54" spans="1:33" ht="18" x14ac:dyDescent="0.2">
      <c r="A54" s="70" t="s">
        <v>193</v>
      </c>
      <c r="B54" s="27" t="s">
        <v>5</v>
      </c>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2"/>
      <c r="AC54" s="28"/>
      <c r="AD54" s="28"/>
      <c r="AE54" s="28"/>
      <c r="AF54" s="22"/>
      <c r="AG54" s="28"/>
    </row>
    <row r="55" spans="1:33" ht="18" x14ac:dyDescent="0.2">
      <c r="A55" s="70"/>
      <c r="B55" s="27" t="s">
        <v>6</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row>
    <row r="56" spans="1:33" ht="18" x14ac:dyDescent="0.2">
      <c r="A56" s="70"/>
      <c r="B56" s="27"/>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row>
    <row r="57" spans="1:33" ht="18" x14ac:dyDescent="0.4">
      <c r="A57" s="4" t="s">
        <v>219</v>
      </c>
      <c r="B57" s="4"/>
      <c r="C57" s="4"/>
      <c r="D57" s="4"/>
      <c r="E57" s="4"/>
      <c r="F57" s="4"/>
      <c r="G57" s="4"/>
      <c r="H57" s="4"/>
      <c r="I57" s="4"/>
      <c r="J57" s="4"/>
      <c r="K57" s="4"/>
      <c r="L57" s="4"/>
      <c r="M57" s="4"/>
      <c r="N57" s="4"/>
      <c r="O57" s="4"/>
      <c r="P57" s="4"/>
      <c r="Q57" s="4"/>
      <c r="R57" s="4"/>
      <c r="S57" s="4"/>
      <c r="T57" s="4"/>
      <c r="U57" s="10"/>
      <c r="V57" s="10"/>
      <c r="W57" s="71" t="s">
        <v>186</v>
      </c>
      <c r="X57" s="71"/>
      <c r="Y57" s="71"/>
      <c r="Z57" s="71"/>
      <c r="AA57" s="71"/>
      <c r="AB57" s="71"/>
      <c r="AC57" s="71"/>
      <c r="AD57" s="10"/>
      <c r="AE57" s="10"/>
      <c r="AF57" s="10"/>
      <c r="AG57" s="10"/>
    </row>
    <row r="58" spans="1:33" ht="18" x14ac:dyDescent="0.4">
      <c r="A58" s="7"/>
      <c r="B58" s="7"/>
      <c r="C58" s="7"/>
      <c r="D58" s="7"/>
      <c r="E58" s="7"/>
      <c r="F58" s="7"/>
      <c r="G58" s="7"/>
      <c r="H58" s="7"/>
      <c r="I58" s="7"/>
      <c r="J58" s="7"/>
      <c r="K58" s="7"/>
      <c r="L58" s="7"/>
      <c r="M58" s="7"/>
      <c r="N58" s="7"/>
      <c r="O58" s="7"/>
      <c r="P58" s="7"/>
      <c r="Q58" s="7"/>
      <c r="R58" s="7"/>
      <c r="S58" s="7"/>
      <c r="T58" s="7"/>
      <c r="U58" s="38"/>
      <c r="V58" s="38"/>
      <c r="W58" s="7"/>
      <c r="X58" s="7"/>
      <c r="Y58" s="7"/>
      <c r="Z58" s="7"/>
      <c r="AA58" s="7"/>
      <c r="AB58" s="7"/>
      <c r="AC58" s="7"/>
      <c r="AD58" s="7"/>
      <c r="AE58" s="7"/>
      <c r="AF58" s="7"/>
      <c r="AG58" s="7"/>
    </row>
    <row r="59" spans="1:33" ht="18" x14ac:dyDescent="0.4">
      <c r="A59" s="9"/>
      <c r="B59" s="9"/>
      <c r="C59" s="9"/>
      <c r="D59" s="9"/>
      <c r="E59" s="9"/>
      <c r="F59" s="9"/>
      <c r="G59" s="9"/>
      <c r="H59" s="9"/>
      <c r="I59" s="9"/>
      <c r="J59" s="9"/>
      <c r="K59" s="9"/>
      <c r="L59" s="9"/>
      <c r="M59" s="9"/>
      <c r="N59" s="9"/>
      <c r="O59" s="9"/>
      <c r="P59" s="72" t="s">
        <v>28</v>
      </c>
      <c r="Q59" s="72"/>
      <c r="R59" s="73" t="str">
        <f>IF(R29=0,"",R29)</f>
        <v>พีรวัส</v>
      </c>
      <c r="S59" s="73"/>
      <c r="T59" s="73"/>
      <c r="U59" s="97" t="s">
        <v>221</v>
      </c>
      <c r="V59" s="97"/>
      <c r="W59" s="73" t="str">
        <f>IF(W29=0,"",W29)</f>
        <v>วรพงศ์</v>
      </c>
      <c r="X59" s="73"/>
      <c r="Y59" s="73"/>
      <c r="Z59" s="8" t="s">
        <v>29</v>
      </c>
      <c r="AA59" s="74">
        <f>IF(AA29=0,"",AA29)</f>
        <v>46204</v>
      </c>
      <c r="AB59" s="73"/>
      <c r="AC59" s="73"/>
      <c r="AD59" s="9"/>
      <c r="AE59" s="73"/>
      <c r="AF59" s="73"/>
      <c r="AG59" s="73"/>
    </row>
    <row r="61" spans="1:33" ht="23.25" x14ac:dyDescent="0.5">
      <c r="A61" s="80" t="s">
        <v>210</v>
      </c>
      <c r="B61" s="80"/>
      <c r="C61" s="80"/>
      <c r="D61" s="80"/>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row>
    <row r="62" spans="1:33" s="1" customFormat="1" ht="21" x14ac:dyDescent="0.45">
      <c r="A62" s="6" t="s">
        <v>22</v>
      </c>
      <c r="B62" s="81" t="s">
        <v>40</v>
      </c>
      <c r="C62" s="81"/>
      <c r="D62" s="81"/>
      <c r="E62" s="81"/>
      <c r="F62" s="81"/>
      <c r="G62" s="81"/>
      <c r="H62" s="6" t="s">
        <v>24</v>
      </c>
      <c r="I62" s="84" t="s">
        <v>217</v>
      </c>
      <c r="J62" s="88"/>
      <c r="K62" s="88"/>
      <c r="L62" s="88"/>
      <c r="M62" s="83" t="s">
        <v>25</v>
      </c>
      <c r="N62" s="83"/>
      <c r="O62" s="81" t="s">
        <v>39</v>
      </c>
      <c r="P62" s="81"/>
      <c r="Q62" s="81"/>
      <c r="R62" s="81"/>
      <c r="S62" s="81"/>
      <c r="T62" s="6" t="s">
        <v>20</v>
      </c>
      <c r="U62" s="101">
        <f>$U$2</f>
        <v>2569</v>
      </c>
      <c r="V62" s="101"/>
      <c r="W62" s="83" t="s">
        <v>35</v>
      </c>
      <c r="X62" s="83"/>
      <c r="Y62" s="83"/>
      <c r="Z62" s="1" t="s">
        <v>220</v>
      </c>
    </row>
    <row r="63" spans="1:33" ht="18.75" customHeight="1" x14ac:dyDescent="0.2">
      <c r="A63" s="20" t="s">
        <v>0</v>
      </c>
      <c r="B63" s="21" t="s">
        <v>2</v>
      </c>
      <c r="C63" s="98" t="str">
        <f>C33</f>
        <v>เดือน กรกฏาคม</v>
      </c>
      <c r="D63" s="99"/>
      <c r="E63" s="99"/>
      <c r="F63" s="99"/>
      <c r="G63" s="99"/>
      <c r="H63" s="99"/>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row>
    <row r="64" spans="1:33" ht="18" x14ac:dyDescent="0.2">
      <c r="A64" s="23" t="s">
        <v>1</v>
      </c>
      <c r="B64" s="24" t="s">
        <v>3</v>
      </c>
      <c r="C64" s="22">
        <f>C34</f>
        <v>1</v>
      </c>
      <c r="D64" s="22">
        <f>D34</f>
        <v>2</v>
      </c>
      <c r="E64" s="22">
        <f t="shared" ref="E64:AG64" si="2">E34</f>
        <v>3</v>
      </c>
      <c r="F64" s="22">
        <f t="shared" si="2"/>
        <v>4</v>
      </c>
      <c r="G64" s="22">
        <f t="shared" si="2"/>
        <v>5</v>
      </c>
      <c r="H64" s="22">
        <f t="shared" si="2"/>
        <v>6</v>
      </c>
      <c r="I64" s="22">
        <f t="shared" si="2"/>
        <v>7</v>
      </c>
      <c r="J64" s="22">
        <f t="shared" si="2"/>
        <v>8</v>
      </c>
      <c r="K64" s="22">
        <f t="shared" si="2"/>
        <v>9</v>
      </c>
      <c r="L64" s="22">
        <f t="shared" si="2"/>
        <v>10</v>
      </c>
      <c r="M64" s="22">
        <f t="shared" si="2"/>
        <v>11</v>
      </c>
      <c r="N64" s="22">
        <f t="shared" si="2"/>
        <v>12</v>
      </c>
      <c r="O64" s="22">
        <f t="shared" si="2"/>
        <v>13</v>
      </c>
      <c r="P64" s="22">
        <f t="shared" si="2"/>
        <v>14</v>
      </c>
      <c r="Q64" s="22">
        <f t="shared" si="2"/>
        <v>15</v>
      </c>
      <c r="R64" s="22">
        <f t="shared" si="2"/>
        <v>16</v>
      </c>
      <c r="S64" s="22">
        <f t="shared" si="2"/>
        <v>17</v>
      </c>
      <c r="T64" s="22">
        <f t="shared" si="2"/>
        <v>18</v>
      </c>
      <c r="U64" s="22">
        <f t="shared" si="2"/>
        <v>19</v>
      </c>
      <c r="V64" s="22">
        <f t="shared" si="2"/>
        <v>20</v>
      </c>
      <c r="W64" s="22">
        <f t="shared" si="2"/>
        <v>21</v>
      </c>
      <c r="X64" s="22">
        <f t="shared" si="2"/>
        <v>22</v>
      </c>
      <c r="Y64" s="22">
        <f t="shared" si="2"/>
        <v>23</v>
      </c>
      <c r="Z64" s="22">
        <f t="shared" si="2"/>
        <v>24</v>
      </c>
      <c r="AA64" s="22">
        <f t="shared" si="2"/>
        <v>25</v>
      </c>
      <c r="AB64" s="22">
        <f t="shared" si="2"/>
        <v>26</v>
      </c>
      <c r="AC64" s="22">
        <f t="shared" si="2"/>
        <v>27</v>
      </c>
      <c r="AD64" s="22">
        <f t="shared" si="2"/>
        <v>28</v>
      </c>
      <c r="AE64" s="22">
        <f t="shared" si="2"/>
        <v>29</v>
      </c>
      <c r="AF64" s="22">
        <f t="shared" si="2"/>
        <v>30</v>
      </c>
      <c r="AG64" s="22">
        <f t="shared" si="2"/>
        <v>31</v>
      </c>
    </row>
    <row r="65" spans="1:33" ht="18" x14ac:dyDescent="0.2">
      <c r="A65" s="25"/>
      <c r="B65" s="26" t="s">
        <v>4</v>
      </c>
      <c r="C65" s="22">
        <f>_xlfn.IFNA(IF(OR(C64="",C64=0),"",(VLOOKUP(B65,'น้ำยา-เครื่อง'!$A:$AF,C64+1,FALSE))),"")</f>
        <v>1</v>
      </c>
      <c r="D65" s="22">
        <f>_xlfn.IFNA(IF(OR(D64="",D64=0),"",(VLOOKUP(B65,'น้ำยา-เครื่อง'!$A:$AF,D64+1,FALSE))),"")</f>
        <v>1</v>
      </c>
      <c r="E65" s="22">
        <f>_xlfn.IFNA(IF(OR(E64="",E64=0),"",(VLOOKUP(B65,'น้ำยา-เครื่อง'!$A:$AF,E64+1,FALSE))),"")</f>
        <v>1</v>
      </c>
      <c r="F65" s="22">
        <f>_xlfn.IFNA(IF(OR(F64="",F64=0),"",(VLOOKUP(B65,'น้ำยา-เครื่อง'!$A:$AF,F64+1,FALSE))),"")</f>
        <v>0</v>
      </c>
      <c r="G65" s="22">
        <f>_xlfn.IFNA(IF(OR(G64="",G64=0),"",(VLOOKUP(B65,'น้ำยา-เครื่อง'!$A:$AF,G64+1,FALSE))),"")</f>
        <v>0</v>
      </c>
      <c r="H65" s="22">
        <f>_xlfn.IFNA(IF(OR(H64="",H64=0),"",(VLOOKUP(B65,'น้ำยา-เครื่อง'!$A:$AF,H64+1,FALSE))),"")</f>
        <v>2</v>
      </c>
      <c r="I65" s="22">
        <f>_xlfn.IFNA(IF(OR(I64="",I64=0),"",(VLOOKUP(B65,'น้ำยา-เครื่อง'!$A:$AF,I64+1,FALSE))),"")</f>
        <v>2</v>
      </c>
      <c r="J65" s="22">
        <f>_xlfn.IFNA(IF(OR(J64="",J64=0),"",(VLOOKUP(B65,'น้ำยา-เครื่อง'!$A:$AF,J64+1,FALSE))),"")</f>
        <v>2</v>
      </c>
      <c r="K65" s="22">
        <f>_xlfn.IFNA(IF(OR(K64="",K64=0),"",(VLOOKUP(B65,'น้ำยา-เครื่อง'!$A:$AF,K64+1,FALSE))),"")</f>
        <v>2</v>
      </c>
      <c r="L65" s="22">
        <f>_xlfn.IFNA(IF(OR(L64="",L64=0),"",(VLOOKUP(B65,'น้ำยา-เครื่อง'!$A:$AF,L64+1,FALSE))),"")</f>
        <v>2</v>
      </c>
      <c r="M65" s="22">
        <f>_xlfn.IFNA(IF(OR(M64="",M64=0),"",(VLOOKUP(B65,'น้ำยา-เครื่อง'!$A:$AF,M64+1,FALSE))),"")</f>
        <v>0</v>
      </c>
      <c r="N65" s="22">
        <f>_xlfn.IFNA(IF(OR(N64="",N64=0),"",(VLOOKUP(B65,'น้ำยา-เครื่อง'!$A:$AF,N64+1,FALSE))),"")</f>
        <v>0</v>
      </c>
      <c r="O65" s="22">
        <f>_xlfn.IFNA(IF(OR(O64="",O64=0),"",(VLOOKUP(B65,'น้ำยา-เครื่อง'!$A:$AF,O64+1,FALSE))),"")</f>
        <v>1</v>
      </c>
      <c r="P65" s="22">
        <f>_xlfn.IFNA(IF(OR(P64="",P64=0),"",(VLOOKUP(B65,'น้ำยา-เครื่อง'!$A:$AF,P64+1,FALSE))),"")</f>
        <v>1</v>
      </c>
      <c r="Q65" s="22">
        <f>_xlfn.IFNA(IF(OR(Q64="",Q64=0),"",(VLOOKUP(B65,'น้ำยา-เครื่อง'!$A:$AF,Q64+1,FALSE))),"")</f>
        <v>1</v>
      </c>
      <c r="R65" s="22">
        <f>_xlfn.IFNA(IF(OR(R64="",R64=0),"",(VLOOKUP(B65,'น้ำยา-เครื่อง'!$A:$AF,R64+1,FALSE))),"")</f>
        <v>1</v>
      </c>
      <c r="S65" s="22">
        <f>_xlfn.IFNA(IF(OR(S64="",S64=0),"",(VLOOKUP(B65,'น้ำยา-เครื่อง'!$A:$AF,S64+1,FALSE))),"")</f>
        <v>1</v>
      </c>
      <c r="T65" s="22">
        <f>_xlfn.IFNA(IF(OR(T64="",T64=0),"",(VLOOKUP(B65,'น้ำยา-เครื่อง'!$A:$AF,T64+1,FALSE))),"")</f>
        <v>0</v>
      </c>
      <c r="U65" s="22">
        <f>_xlfn.IFNA(IF(OR(U64="",U64=0),"",(VLOOKUP(B65,'น้ำยา-เครื่อง'!$A:$AF,U64+1,FALSE))),"")</f>
        <v>0</v>
      </c>
      <c r="V65" s="22">
        <f>_xlfn.IFNA(IF(OR(V64="",V64=0),"",(VLOOKUP(B65,'น้ำยา-เครื่อง'!$A:$AF,V64+1,FALSE))),"")</f>
        <v>2</v>
      </c>
      <c r="W65" s="22">
        <f>_xlfn.IFNA(IF(OR(W64="",W64=0),"",(VLOOKUP(B65,'น้ำยา-เครื่อง'!$A:$AF,W64+1,FALSE))),"")</f>
        <v>2</v>
      </c>
      <c r="X65" s="22">
        <f>_xlfn.IFNA(IF(OR(X64="",X64=0),"",(VLOOKUP(B65,'น้ำยา-เครื่อง'!$A:$AF,X64+1,FALSE))),"")</f>
        <v>2</v>
      </c>
      <c r="Y65" s="22">
        <f>_xlfn.IFNA(IF(OR(Y64="",Y64=0),"",(VLOOKUP(B65,'น้ำยา-เครื่อง'!$A:$AF,Y64+1,FALSE))),"")</f>
        <v>2</v>
      </c>
      <c r="Z65" s="22">
        <f>_xlfn.IFNA(IF(OR(Z64="",Z64=0),"",(VLOOKUP(B65,'น้ำยา-เครื่อง'!$A:$AF,Z64+1,FALSE))),"")</f>
        <v>2</v>
      </c>
      <c r="AA65" s="22">
        <f>_xlfn.IFNA(IF(OR(AA64="",AA64=0),"",(VLOOKUP(B65,'น้ำยา-เครื่อง'!$A:$AF,AA64+1,FALSE))),"")</f>
        <v>0</v>
      </c>
      <c r="AB65" s="22">
        <f>_xlfn.IFNA(IF(OR(AB64="",AB64=0),"",(VLOOKUP(B65,'น้ำยา-เครื่อง'!$A:$AF,AB64+1,FALSE))),"")</f>
        <v>0</v>
      </c>
      <c r="AC65" s="22">
        <f>_xlfn.IFNA(IF(OR(AC64="",AC64=0),"",(VLOOKUP(B65,'น้ำยา-เครื่อง'!$A:$AF,AC64+1,FALSE))),"")</f>
        <v>1</v>
      </c>
      <c r="AD65" s="22">
        <f>_xlfn.IFNA(IF(OR(AD64="",AD64=0),"",(VLOOKUP(B65,'น้ำยา-เครื่อง'!$A:$AF,AD64+1,FALSE))),"")</f>
        <v>1</v>
      </c>
      <c r="AE65" s="22">
        <f>_xlfn.IFNA(IF(OR(AE64="",AE64=0),"",(VLOOKUP(B65,'น้ำยา-เครื่อง'!$A:$AF,AE64+1,FALSE))),"")</f>
        <v>1</v>
      </c>
      <c r="AF65" s="22">
        <f>_xlfn.IFNA(IF(OR(AF64="",AF64=0),"",(VLOOKUP(B65,'น้ำยา-เครื่อง'!$A:$AF,AF64+1,FALSE))),"")</f>
        <v>1</v>
      </c>
      <c r="AG65" s="22">
        <f>_xlfn.IFNA(IF(OR(AG64="",AG64=0),"",(VLOOKUP(B65,'น้ำยา-เครื่อง'!$A:$AF,AG64+1,FALSE))),"")</f>
        <v>1</v>
      </c>
    </row>
    <row r="66" spans="1:33" ht="18.75" customHeight="1" x14ac:dyDescent="0.2">
      <c r="A66" s="70" t="s">
        <v>212</v>
      </c>
      <c r="B66" s="27" t="s">
        <v>5</v>
      </c>
      <c r="C66" s="69" t="s">
        <v>60</v>
      </c>
      <c r="D66" s="22"/>
      <c r="E66" s="22"/>
      <c r="F66" s="69"/>
      <c r="G66" s="69"/>
      <c r="H66" s="69"/>
      <c r="I66" s="69" t="s">
        <v>60</v>
      </c>
      <c r="J66" s="69" t="s">
        <v>60</v>
      </c>
      <c r="K66" s="69" t="s">
        <v>60</v>
      </c>
      <c r="L66" s="69"/>
      <c r="M66" s="22"/>
      <c r="N66" s="22"/>
      <c r="O66" s="69"/>
      <c r="P66" s="69" t="s">
        <v>60</v>
      </c>
      <c r="Q66" s="69" t="s">
        <v>60</v>
      </c>
      <c r="R66" s="69" t="s">
        <v>60</v>
      </c>
      <c r="S66" s="69"/>
      <c r="T66" s="22"/>
      <c r="U66" s="22"/>
      <c r="V66" s="69"/>
      <c r="W66" s="69" t="s">
        <v>60</v>
      </c>
      <c r="X66" s="69" t="s">
        <v>60</v>
      </c>
      <c r="Y66" s="69" t="s">
        <v>60</v>
      </c>
      <c r="Z66" s="22"/>
      <c r="AA66" s="22"/>
      <c r="AB66" s="22"/>
      <c r="AC66" s="22"/>
      <c r="AD66" s="22"/>
      <c r="AE66" s="22"/>
      <c r="AF66" s="22"/>
      <c r="AG66" s="22"/>
    </row>
    <row r="67" spans="1:33" ht="18" x14ac:dyDescent="0.2">
      <c r="A67" s="70"/>
      <c r="B67" s="27" t="s">
        <v>6</v>
      </c>
      <c r="C67" s="22"/>
      <c r="D67" s="22"/>
      <c r="E67" s="22"/>
      <c r="F67" s="22"/>
      <c r="G67" s="22"/>
      <c r="H67" s="69"/>
      <c r="I67" s="69"/>
      <c r="J67" s="69"/>
      <c r="K67" s="69"/>
      <c r="L67" s="69"/>
      <c r="M67" s="22"/>
      <c r="N67" s="22"/>
      <c r="O67" s="69"/>
      <c r="P67" s="69"/>
      <c r="Q67" s="69"/>
      <c r="R67" s="69"/>
      <c r="S67" s="69"/>
      <c r="T67" s="22"/>
      <c r="U67" s="22"/>
      <c r="V67" s="69"/>
      <c r="W67" s="69"/>
      <c r="X67" s="69"/>
      <c r="Y67" s="69"/>
      <c r="Z67" s="22"/>
      <c r="AA67" s="22"/>
      <c r="AB67" s="22"/>
      <c r="AC67" s="22"/>
      <c r="AD67" s="22"/>
      <c r="AE67" s="22"/>
      <c r="AF67" s="22"/>
      <c r="AG67" s="22"/>
    </row>
    <row r="68" spans="1:33" ht="18" x14ac:dyDescent="0.2">
      <c r="A68" s="70"/>
      <c r="B68" s="27"/>
      <c r="C68" s="22"/>
      <c r="D68" s="22"/>
      <c r="E68" s="22"/>
      <c r="F68" s="22"/>
      <c r="G68" s="22"/>
      <c r="H68" s="69"/>
      <c r="I68" s="69"/>
      <c r="J68" s="69"/>
      <c r="K68" s="69"/>
      <c r="L68" s="69"/>
      <c r="M68" s="22"/>
      <c r="N68" s="22"/>
      <c r="O68" s="69"/>
      <c r="P68" s="69"/>
      <c r="Q68" s="69"/>
      <c r="R68" s="69"/>
      <c r="S68" s="69"/>
      <c r="T68" s="22"/>
      <c r="U68" s="22"/>
      <c r="V68" s="69"/>
      <c r="W68" s="69"/>
      <c r="X68" s="69"/>
      <c r="Y68" s="69"/>
      <c r="Z68" s="22"/>
      <c r="AA68" s="22"/>
      <c r="AB68" s="22"/>
      <c r="AC68" s="22"/>
      <c r="AD68" s="22"/>
      <c r="AE68" s="22"/>
      <c r="AF68" s="22"/>
      <c r="AG68" s="22"/>
    </row>
    <row r="69" spans="1:33" ht="18" x14ac:dyDescent="0.2">
      <c r="A69" s="70" t="s">
        <v>226</v>
      </c>
      <c r="B69" s="27" t="s">
        <v>5</v>
      </c>
      <c r="C69" s="28"/>
      <c r="D69" s="28"/>
      <c r="E69" s="68"/>
      <c r="F69" s="28"/>
      <c r="G69" s="28"/>
      <c r="H69" s="68" t="s">
        <v>60</v>
      </c>
      <c r="I69" s="68"/>
      <c r="J69" s="68"/>
      <c r="K69" s="68"/>
      <c r="L69" s="68"/>
      <c r="M69" s="28"/>
      <c r="N69" s="28"/>
      <c r="O69" s="68" t="s">
        <v>60</v>
      </c>
      <c r="P69" s="68"/>
      <c r="Q69" s="68"/>
      <c r="R69" s="68"/>
      <c r="S69" s="68"/>
      <c r="T69" s="28"/>
      <c r="U69" s="28"/>
      <c r="V69" s="68" t="s">
        <v>60</v>
      </c>
      <c r="W69" s="68"/>
      <c r="X69" s="68"/>
      <c r="Y69" s="68"/>
      <c r="Z69" s="28"/>
      <c r="AA69" s="28"/>
      <c r="AB69" s="28"/>
      <c r="AC69" s="28"/>
      <c r="AD69" s="28"/>
      <c r="AE69" s="28"/>
      <c r="AF69" s="28"/>
      <c r="AG69" s="28"/>
    </row>
    <row r="70" spans="1:33" ht="18" x14ac:dyDescent="0.2">
      <c r="A70" s="70"/>
      <c r="B70" s="27" t="s">
        <v>6</v>
      </c>
      <c r="C70" s="22"/>
      <c r="D70" s="22"/>
      <c r="E70" s="22"/>
      <c r="F70" s="22"/>
      <c r="G70" s="22"/>
      <c r="H70" s="22"/>
      <c r="I70" s="22"/>
      <c r="J70" s="22"/>
      <c r="K70" s="22"/>
      <c r="L70" s="22"/>
      <c r="M70" s="22"/>
      <c r="N70" s="22"/>
      <c r="O70" s="22"/>
      <c r="P70" s="22"/>
      <c r="Q70" s="22"/>
      <c r="R70" s="22"/>
      <c r="S70" s="22"/>
      <c r="T70" s="22"/>
      <c r="U70" s="22"/>
      <c r="V70" s="22"/>
      <c r="W70" s="22"/>
      <c r="X70" s="22"/>
      <c r="Y70" s="28"/>
      <c r="Z70" s="22"/>
      <c r="AA70" s="22"/>
      <c r="AB70" s="22"/>
      <c r="AC70" s="22"/>
      <c r="AD70" s="22"/>
      <c r="AE70" s="22"/>
      <c r="AF70" s="28"/>
      <c r="AG70" s="22"/>
    </row>
    <row r="71" spans="1:33" ht="18" x14ac:dyDescent="0.2">
      <c r="A71" s="70"/>
      <c r="B71" s="27"/>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row>
    <row r="72" spans="1:33" ht="18" x14ac:dyDescent="0.2">
      <c r="A72" s="70"/>
      <c r="B72" s="27" t="s">
        <v>5</v>
      </c>
      <c r="C72" s="28"/>
      <c r="D72" s="28"/>
      <c r="E72" s="28"/>
      <c r="F72" s="28"/>
      <c r="G72" s="28"/>
      <c r="H72" s="28"/>
      <c r="I72" s="28"/>
      <c r="J72" s="28"/>
      <c r="K72" s="28"/>
      <c r="L72" s="28"/>
      <c r="M72" s="28"/>
      <c r="N72" s="28"/>
      <c r="O72" s="36"/>
      <c r="P72" s="28"/>
      <c r="Q72" s="28"/>
      <c r="R72" s="28"/>
      <c r="S72" s="28"/>
      <c r="T72" s="36"/>
      <c r="U72" s="28"/>
      <c r="V72" s="28"/>
      <c r="W72" s="28"/>
      <c r="X72" s="28"/>
      <c r="Y72" s="22"/>
      <c r="Z72" s="28"/>
      <c r="AA72" s="28"/>
      <c r="AB72" s="28"/>
      <c r="AC72" s="28"/>
      <c r="AD72" s="28"/>
      <c r="AE72" s="28"/>
      <c r="AF72" s="22"/>
      <c r="AG72" s="28"/>
    </row>
    <row r="73" spans="1:33" ht="18" x14ac:dyDescent="0.2">
      <c r="A73" s="70"/>
      <c r="B73" s="27" t="s">
        <v>6</v>
      </c>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row>
    <row r="74" spans="1:33" ht="18" x14ac:dyDescent="0.2">
      <c r="A74" s="70"/>
      <c r="B74" s="27"/>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row>
    <row r="75" spans="1:33" ht="18.75" customHeight="1" x14ac:dyDescent="0.2">
      <c r="A75" s="20" t="s">
        <v>0</v>
      </c>
      <c r="B75" s="21" t="s">
        <v>2</v>
      </c>
      <c r="C75" s="98" t="str">
        <f>C45</f>
        <v>เดือน สิงหาคม</v>
      </c>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row>
    <row r="76" spans="1:33" ht="18" x14ac:dyDescent="0.2">
      <c r="A76" s="23" t="s">
        <v>1</v>
      </c>
      <c r="B76" s="24" t="s">
        <v>3</v>
      </c>
      <c r="C76" s="22">
        <f>C46</f>
        <v>1</v>
      </c>
      <c r="D76" s="22">
        <f t="shared" ref="D76:AG76" si="3">D46</f>
        <v>2</v>
      </c>
      <c r="E76" s="22">
        <f t="shared" si="3"/>
        <v>3</v>
      </c>
      <c r="F76" s="22">
        <f t="shared" si="3"/>
        <v>4</v>
      </c>
      <c r="G76" s="22">
        <f t="shared" si="3"/>
        <v>5</v>
      </c>
      <c r="H76" s="22">
        <f t="shared" si="3"/>
        <v>6</v>
      </c>
      <c r="I76" s="22">
        <f t="shared" si="3"/>
        <v>7</v>
      </c>
      <c r="J76" s="22">
        <f t="shared" si="3"/>
        <v>8</v>
      </c>
      <c r="K76" s="22">
        <f t="shared" si="3"/>
        <v>9</v>
      </c>
      <c r="L76" s="22">
        <f t="shared" si="3"/>
        <v>10</v>
      </c>
      <c r="M76" s="22">
        <f t="shared" si="3"/>
        <v>11</v>
      </c>
      <c r="N76" s="22">
        <f t="shared" si="3"/>
        <v>12</v>
      </c>
      <c r="O76" s="22">
        <f t="shared" si="3"/>
        <v>13</v>
      </c>
      <c r="P76" s="22">
        <f t="shared" si="3"/>
        <v>14</v>
      </c>
      <c r="Q76" s="22">
        <f t="shared" si="3"/>
        <v>15</v>
      </c>
      <c r="R76" s="22">
        <f t="shared" si="3"/>
        <v>16</v>
      </c>
      <c r="S76" s="22">
        <f t="shared" si="3"/>
        <v>17</v>
      </c>
      <c r="T76" s="22">
        <f t="shared" si="3"/>
        <v>18</v>
      </c>
      <c r="U76" s="22">
        <f t="shared" si="3"/>
        <v>19</v>
      </c>
      <c r="V76" s="22">
        <f t="shared" si="3"/>
        <v>20</v>
      </c>
      <c r="W76" s="22">
        <f t="shared" si="3"/>
        <v>21</v>
      </c>
      <c r="X76" s="22">
        <f t="shared" si="3"/>
        <v>22</v>
      </c>
      <c r="Y76" s="22">
        <f t="shared" si="3"/>
        <v>23</v>
      </c>
      <c r="Z76" s="22">
        <f t="shared" si="3"/>
        <v>24</v>
      </c>
      <c r="AA76" s="22">
        <f t="shared" si="3"/>
        <v>25</v>
      </c>
      <c r="AB76" s="22">
        <f t="shared" si="3"/>
        <v>26</v>
      </c>
      <c r="AC76" s="22">
        <f t="shared" si="3"/>
        <v>27</v>
      </c>
      <c r="AD76" s="22">
        <f t="shared" si="3"/>
        <v>28</v>
      </c>
      <c r="AE76" s="22">
        <f t="shared" si="3"/>
        <v>29</v>
      </c>
      <c r="AF76" s="22">
        <f t="shared" si="3"/>
        <v>30</v>
      </c>
      <c r="AG76" s="22">
        <f t="shared" si="3"/>
        <v>0</v>
      </c>
    </row>
    <row r="77" spans="1:33" ht="18" x14ac:dyDescent="0.2">
      <c r="A77" s="25"/>
      <c r="B77" s="26" t="s">
        <v>4</v>
      </c>
      <c r="C77" s="22">
        <f>_xlfn.IFNA(IF(OR(C76="",C76=0),"",(VLOOKUP($B77,'น้ำยา-เครื่อง'!$A$14:$AF$23,C76+1,FALSE))),"")</f>
        <v>0</v>
      </c>
      <c r="D77" s="22">
        <f>_xlfn.IFNA(IF(OR(D76="",D76=0),"",(VLOOKUP($B77,'น้ำยา-เครื่อง'!$A$14:$AF$23,D76+1,FALSE))),"")</f>
        <v>0</v>
      </c>
      <c r="E77" s="22">
        <f>_xlfn.IFNA(IF(OR(E76="",E76=0),"",(VLOOKUP($B77,'น้ำยา-เครื่อง'!$A$14:$AF$23,E76+1,FALSE))),"")</f>
        <v>2</v>
      </c>
      <c r="F77" s="22">
        <f>_xlfn.IFNA(IF(OR(F76="",F76=0),"",(VLOOKUP($B77,'น้ำยา-เครื่อง'!$A$14:$AF$23,F76+1,FALSE))),"")</f>
        <v>2</v>
      </c>
      <c r="G77" s="22">
        <f>_xlfn.IFNA(IF(OR(G76="",G76=0),"",(VLOOKUP($B77,'น้ำยา-เครื่อง'!$A$14:$AF$23,G76+1,FALSE))),"")</f>
        <v>2</v>
      </c>
      <c r="H77" s="22">
        <f>_xlfn.IFNA(IF(OR(H76="",H76=0),"",(VLOOKUP($B77,'น้ำยา-เครื่อง'!$A$14:$AF$23,H76+1,FALSE))),"")</f>
        <v>2</v>
      </c>
      <c r="I77" s="22">
        <f>_xlfn.IFNA(IF(OR(I76="",I76=0),"",(VLOOKUP($B77,'น้ำยา-เครื่อง'!$A$14:$AF$23,I76+1,FALSE))),"")</f>
        <v>2</v>
      </c>
      <c r="J77" s="22">
        <f>_xlfn.IFNA(IF(OR(J76="",J76=0),"",(VLOOKUP($B77,'น้ำยา-เครื่อง'!$A$14:$AF$23,J76+1,FALSE))),"")</f>
        <v>0</v>
      </c>
      <c r="K77" s="22">
        <f>_xlfn.IFNA(IF(OR(K76="",K76=0),"",(VLOOKUP($B77,'น้ำยา-เครื่อง'!$A$14:$AF$23,K76+1,FALSE))),"")</f>
        <v>0</v>
      </c>
      <c r="L77" s="22">
        <f>_xlfn.IFNA(IF(OR(L76="",L76=0),"",(VLOOKUP($B77,'น้ำยา-เครื่อง'!$A$14:$AF$23,L76+1,FALSE))),"")</f>
        <v>1</v>
      </c>
      <c r="M77" s="22">
        <f>_xlfn.IFNA(IF(OR(M76="",M76=0),"",(VLOOKUP($B77,'น้ำยา-เครื่อง'!$A$14:$AF$23,M76+1,FALSE))),"")</f>
        <v>1</v>
      </c>
      <c r="N77" s="22">
        <f>_xlfn.IFNA(IF(OR(N76="",N76=0),"",(VLOOKUP($B77,'น้ำยา-เครื่อง'!$A$14:$AF$23,N76+1,FALSE))),"")</f>
        <v>1</v>
      </c>
      <c r="O77" s="22">
        <f>_xlfn.IFNA(IF(OR(O76="",O76=0),"",(VLOOKUP($B77,'น้ำยา-เครื่อง'!$A$14:$AF$23,O76+1,FALSE))),"")</f>
        <v>1</v>
      </c>
      <c r="P77" s="22">
        <f>_xlfn.IFNA(IF(OR(P76="",P76=0),"",(VLOOKUP($B77,'น้ำยา-เครื่อง'!$A$14:$AF$23,P76+1,FALSE))),"")</f>
        <v>1</v>
      </c>
      <c r="Q77" s="22">
        <f>_xlfn.IFNA(IF(OR(Q76="",Q76=0),"",(VLOOKUP($B77,'น้ำยา-เครื่อง'!$A$14:$AF$23,Q76+1,FALSE))),"")</f>
        <v>0</v>
      </c>
      <c r="R77" s="22">
        <f>_xlfn.IFNA(IF(OR(R76="",R76=0),"",(VLOOKUP($B77,'น้ำยา-เครื่อง'!$A$14:$AF$23,R76+1,FALSE))),"")</f>
        <v>0</v>
      </c>
      <c r="S77" s="22">
        <f>_xlfn.IFNA(IF(OR(S76="",S76=0),"",(VLOOKUP($B77,'น้ำยา-เครื่อง'!$A$14:$AF$23,S76+1,FALSE))),"")</f>
        <v>2</v>
      </c>
      <c r="T77" s="22">
        <f>_xlfn.IFNA(IF(OR(T76="",T76=0),"",(VLOOKUP($B77,'น้ำยา-เครื่อง'!$A$14:$AF$23,T76+1,FALSE))),"")</f>
        <v>2</v>
      </c>
      <c r="U77" s="22">
        <f>_xlfn.IFNA(IF(OR(U76="",U76=0),"",(VLOOKUP($B77,'น้ำยา-เครื่อง'!$A$14:$AF$23,U76+1,FALSE))),"")</f>
        <v>2</v>
      </c>
      <c r="V77" s="22">
        <f>_xlfn.IFNA(IF(OR(V76="",V76=0),"",(VLOOKUP($B77,'น้ำยา-เครื่อง'!$A$14:$AF$23,V76+1,FALSE))),"")</f>
        <v>2</v>
      </c>
      <c r="W77" s="22">
        <f>_xlfn.IFNA(IF(OR(W76="",W76=0),"",(VLOOKUP($B77,'น้ำยา-เครื่อง'!$A$14:$AF$23,W76+1,FALSE))),"")</f>
        <v>2</v>
      </c>
      <c r="X77" s="22">
        <f>_xlfn.IFNA(IF(OR(X76="",X76=0),"",(VLOOKUP($B77,'น้ำยา-เครื่อง'!$A$14:$AF$23,X76+1,FALSE))),"")</f>
        <v>0</v>
      </c>
      <c r="Y77" s="22">
        <f>_xlfn.IFNA(IF(OR(Y76="",Y76=0),"",(VLOOKUP($B77,'น้ำยา-เครื่อง'!$A$14:$AF$23,Y76+1,FALSE))),"")</f>
        <v>0</v>
      </c>
      <c r="Z77" s="22">
        <f>_xlfn.IFNA(IF(OR(Z76="",Z76=0),"",(VLOOKUP($B77,'น้ำยา-เครื่อง'!$A$14:$AF$23,Z76+1,FALSE))),"")</f>
        <v>1</v>
      </c>
      <c r="AA77" s="22">
        <f>_xlfn.IFNA(IF(OR(AA76="",AA76=0),"",(VLOOKUP($B77,'น้ำยา-เครื่อง'!$A$14:$AF$23,AA76+1,FALSE))),"")</f>
        <v>1</v>
      </c>
      <c r="AB77" s="22">
        <f>_xlfn.IFNA(IF(OR(AB76="",AB76=0),"",(VLOOKUP($B77,'น้ำยา-เครื่อง'!$A$14:$AF$23,AB76+1,FALSE))),"")</f>
        <v>1</v>
      </c>
      <c r="AC77" s="22">
        <f>_xlfn.IFNA(IF(OR(AC76="",AC76=0),"",(VLOOKUP($B77,'น้ำยา-เครื่อง'!$A$14:$AF$23,AC76+1,FALSE))),"")</f>
        <v>1</v>
      </c>
      <c r="AD77" s="22">
        <f>_xlfn.IFNA(IF(OR(AD76="",AD76=0),"",(VLOOKUP($B77,'น้ำยา-เครื่อง'!$A$14:$AF$23,AD76+1,FALSE))),"")</f>
        <v>1</v>
      </c>
      <c r="AE77" s="22">
        <f>_xlfn.IFNA(IF(OR(AE76="",AE76=0),"",(VLOOKUP($B77,'น้ำยา-เครื่อง'!$A$14:$AF$23,AE76+1,FALSE))),"")</f>
        <v>0</v>
      </c>
      <c r="AF77" s="22">
        <f>_xlfn.IFNA(IF(OR(AF76="",AF76=0),"",(VLOOKUP($B77,'น้ำยา-เครื่อง'!$A$14:$AF$23,AF76+1,FALSE))),"")</f>
        <v>0</v>
      </c>
      <c r="AG77" s="22" t="str">
        <f>_xlfn.IFNA(IF(OR(AG76="",AG76=0),"",(VLOOKUP($B77,'น้ำยา-เครื่อง'!$A$14:$AF$23,AG76+1,FALSE))),"")</f>
        <v/>
      </c>
    </row>
    <row r="78" spans="1:33" ht="18.75" customHeight="1" x14ac:dyDescent="0.2">
      <c r="A78" s="70" t="s">
        <v>212</v>
      </c>
      <c r="B78" s="27" t="s">
        <v>5</v>
      </c>
      <c r="C78" s="22"/>
      <c r="D78" s="22"/>
      <c r="E78" s="69"/>
      <c r="F78" s="69" t="s">
        <v>60</v>
      </c>
      <c r="G78" s="69" t="s">
        <v>60</v>
      </c>
      <c r="H78" s="69" t="s">
        <v>60</v>
      </c>
      <c r="I78" s="22"/>
      <c r="J78" s="22"/>
      <c r="K78" s="22"/>
      <c r="L78" s="22"/>
      <c r="M78" s="22"/>
      <c r="N78" s="69"/>
      <c r="O78" s="69" t="s">
        <v>60</v>
      </c>
      <c r="P78" s="69" t="s">
        <v>60</v>
      </c>
      <c r="Q78" s="69"/>
      <c r="R78" s="22"/>
      <c r="S78" s="69"/>
      <c r="T78" s="69" t="s">
        <v>60</v>
      </c>
      <c r="U78" s="69" t="s">
        <v>60</v>
      </c>
      <c r="V78" s="69" t="s">
        <v>60</v>
      </c>
      <c r="W78" s="22"/>
      <c r="X78" s="22"/>
      <c r="Y78" s="22"/>
      <c r="Z78" s="69"/>
      <c r="AA78" s="69" t="s">
        <v>60</v>
      </c>
      <c r="AB78" s="69" t="s">
        <v>60</v>
      </c>
      <c r="AC78" s="22"/>
      <c r="AD78" s="22"/>
      <c r="AE78" s="22"/>
      <c r="AF78" s="22"/>
      <c r="AG78" s="28"/>
    </row>
    <row r="79" spans="1:33" ht="18" x14ac:dyDescent="0.2">
      <c r="A79" s="70"/>
      <c r="B79" s="27" t="s">
        <v>6</v>
      </c>
      <c r="C79" s="22"/>
      <c r="D79" s="22"/>
      <c r="E79" s="69"/>
      <c r="F79" s="69"/>
      <c r="G79" s="69"/>
      <c r="H79" s="69"/>
      <c r="I79" s="22"/>
      <c r="J79" s="22"/>
      <c r="K79" s="22"/>
      <c r="L79" s="22"/>
      <c r="M79" s="22"/>
      <c r="N79" s="69"/>
      <c r="O79" s="69"/>
      <c r="P79" s="69"/>
      <c r="Q79" s="69"/>
      <c r="R79" s="22"/>
      <c r="S79" s="69"/>
      <c r="T79" s="69"/>
      <c r="U79" s="69"/>
      <c r="V79" s="69"/>
      <c r="W79" s="22"/>
      <c r="X79" s="22"/>
      <c r="Y79" s="22"/>
      <c r="Z79" s="69"/>
      <c r="AA79" s="69"/>
      <c r="AB79" s="22"/>
      <c r="AC79" s="22"/>
      <c r="AD79" s="22"/>
      <c r="AE79" s="22"/>
      <c r="AF79" s="22"/>
      <c r="AG79" s="22"/>
    </row>
    <row r="80" spans="1:33" ht="18" x14ac:dyDescent="0.2">
      <c r="A80" s="70"/>
      <c r="B80" s="27"/>
      <c r="C80" s="22"/>
      <c r="D80" s="22"/>
      <c r="E80" s="69"/>
      <c r="F80" s="69"/>
      <c r="G80" s="69"/>
      <c r="H80" s="69"/>
      <c r="I80" s="22"/>
      <c r="J80" s="22"/>
      <c r="K80" s="22"/>
      <c r="L80" s="22"/>
      <c r="M80" s="22"/>
      <c r="N80" s="69"/>
      <c r="O80" s="69"/>
      <c r="P80" s="69"/>
      <c r="Q80" s="69"/>
      <c r="R80" s="22"/>
      <c r="S80" s="69"/>
      <c r="T80" s="69"/>
      <c r="U80" s="69"/>
      <c r="V80" s="69"/>
      <c r="W80" s="22"/>
      <c r="X80" s="22"/>
      <c r="Y80" s="22"/>
      <c r="Z80" s="69"/>
      <c r="AA80" s="69"/>
      <c r="AB80" s="22"/>
      <c r="AC80" s="22"/>
      <c r="AD80" s="22"/>
      <c r="AE80" s="22"/>
      <c r="AF80" s="22"/>
      <c r="AG80" s="22"/>
    </row>
    <row r="81" spans="1:33" ht="18" customHeight="1" x14ac:dyDescent="0.2">
      <c r="A81" s="70" t="s">
        <v>226</v>
      </c>
      <c r="B81" s="27" t="s">
        <v>5</v>
      </c>
      <c r="C81" s="28"/>
      <c r="D81" s="28"/>
      <c r="E81" s="68" t="s">
        <v>60</v>
      </c>
      <c r="F81" s="68"/>
      <c r="G81" s="68"/>
      <c r="H81" s="68"/>
      <c r="I81" s="28"/>
      <c r="J81" s="28"/>
      <c r="K81" s="28"/>
      <c r="L81" s="28"/>
      <c r="M81" s="28"/>
      <c r="N81" s="68" t="s">
        <v>60</v>
      </c>
      <c r="O81" s="68"/>
      <c r="P81" s="68"/>
      <c r="Q81" s="68"/>
      <c r="R81" s="28"/>
      <c r="S81" s="68" t="s">
        <v>60</v>
      </c>
      <c r="T81" s="68"/>
      <c r="U81" s="68"/>
      <c r="V81" s="68"/>
      <c r="W81" s="28"/>
      <c r="X81" s="28"/>
      <c r="Y81" s="28"/>
      <c r="Z81" s="68" t="s">
        <v>60</v>
      </c>
      <c r="AA81" s="68"/>
      <c r="AB81" s="28"/>
      <c r="AC81" s="28"/>
      <c r="AD81" s="22"/>
      <c r="AE81" s="28"/>
      <c r="AF81" s="28"/>
      <c r="AG81" s="28"/>
    </row>
    <row r="82" spans="1:33" ht="18" x14ac:dyDescent="0.2">
      <c r="A82" s="70"/>
      <c r="B82" s="27" t="s">
        <v>6</v>
      </c>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row>
    <row r="83" spans="1:33" ht="18" x14ac:dyDescent="0.2">
      <c r="A83" s="70"/>
      <c r="B83" s="27"/>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row>
    <row r="84" spans="1:33" ht="18" customHeight="1" x14ac:dyDescent="0.2">
      <c r="A84" s="70"/>
      <c r="B84" s="27" t="s">
        <v>5</v>
      </c>
      <c r="C84" s="28"/>
      <c r="D84" s="28"/>
      <c r="E84" s="28"/>
      <c r="F84" s="36"/>
      <c r="G84" s="28"/>
      <c r="H84" s="28"/>
      <c r="I84" s="28"/>
      <c r="J84" s="28"/>
      <c r="K84" s="36"/>
      <c r="L84" s="28"/>
      <c r="M84" s="28"/>
      <c r="N84" s="36"/>
      <c r="O84" s="28"/>
      <c r="P84" s="28"/>
      <c r="Q84" s="28"/>
      <c r="R84" s="28"/>
      <c r="S84" s="28"/>
      <c r="T84" s="36"/>
      <c r="U84" s="28"/>
      <c r="V84" s="28"/>
      <c r="W84" s="28"/>
      <c r="X84" s="28"/>
      <c r="Y84" s="28"/>
      <c r="Z84" s="28"/>
      <c r="AA84" s="36"/>
      <c r="AB84" s="28"/>
      <c r="AC84" s="28"/>
      <c r="AD84" s="28"/>
      <c r="AE84" s="28"/>
      <c r="AF84" s="28"/>
      <c r="AG84" s="28"/>
    </row>
    <row r="85" spans="1:33" ht="18" x14ac:dyDescent="0.2">
      <c r="A85" s="70"/>
      <c r="B85" s="27" t="s">
        <v>6</v>
      </c>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row>
    <row r="86" spans="1:33" ht="18" x14ac:dyDescent="0.2">
      <c r="A86" s="70"/>
      <c r="B86" s="27"/>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row>
    <row r="87" spans="1:33" ht="18" x14ac:dyDescent="0.4">
      <c r="A87" s="4" t="s">
        <v>219</v>
      </c>
      <c r="B87" s="4"/>
      <c r="C87" s="4"/>
      <c r="D87" s="4"/>
      <c r="E87" s="4"/>
      <c r="F87" s="4"/>
      <c r="G87" s="4"/>
      <c r="H87" s="4"/>
      <c r="I87" s="4"/>
      <c r="J87" s="4"/>
      <c r="K87" s="4"/>
      <c r="L87" s="4"/>
      <c r="M87" s="4"/>
      <c r="N87" s="4"/>
      <c r="O87" s="4"/>
      <c r="P87" s="4"/>
      <c r="Q87" s="4"/>
      <c r="R87" s="4"/>
      <c r="S87" s="4"/>
      <c r="T87" s="4"/>
      <c r="U87" s="10"/>
      <c r="V87" s="10"/>
      <c r="W87" s="71" t="s">
        <v>186</v>
      </c>
      <c r="X87" s="71"/>
      <c r="Y87" s="71"/>
      <c r="Z87" s="71"/>
      <c r="AA87" s="71"/>
      <c r="AB87" s="71"/>
      <c r="AC87" s="71"/>
      <c r="AD87" s="10"/>
      <c r="AE87" s="10"/>
      <c r="AF87" s="10"/>
      <c r="AG87" s="10"/>
    </row>
    <row r="88" spans="1:33" ht="18" x14ac:dyDescent="0.4">
      <c r="A88" s="7"/>
      <c r="B88" s="7"/>
      <c r="C88" s="7"/>
      <c r="D88" s="7"/>
      <c r="E88" s="7"/>
      <c r="F88" s="7"/>
      <c r="G88" s="7"/>
      <c r="H88" s="7"/>
      <c r="I88" s="7"/>
      <c r="J88" s="7"/>
      <c r="K88" s="7"/>
      <c r="L88" s="7"/>
      <c r="M88" s="7"/>
      <c r="N88" s="7"/>
      <c r="O88" s="7"/>
      <c r="P88" s="7"/>
      <c r="Q88" s="7"/>
      <c r="R88" s="7"/>
      <c r="S88" s="7"/>
      <c r="T88" s="7"/>
      <c r="U88" s="38"/>
      <c r="V88" s="38"/>
      <c r="W88" s="7"/>
      <c r="X88" s="7"/>
      <c r="Y88" s="7"/>
      <c r="Z88" s="7"/>
      <c r="AA88" s="7"/>
      <c r="AB88" s="7"/>
      <c r="AC88" s="7"/>
      <c r="AD88" s="7"/>
      <c r="AE88" s="7"/>
      <c r="AF88" s="7"/>
      <c r="AG88" s="7"/>
    </row>
    <row r="89" spans="1:33" ht="18" x14ac:dyDescent="0.4">
      <c r="A89" s="9"/>
      <c r="B89" s="9"/>
      <c r="C89" s="9"/>
      <c r="D89" s="9"/>
      <c r="E89" s="9"/>
      <c r="F89" s="9"/>
      <c r="G89" s="9"/>
      <c r="H89" s="9"/>
      <c r="I89" s="9"/>
      <c r="J89" s="9"/>
      <c r="K89" s="9"/>
      <c r="L89" s="9"/>
      <c r="M89" s="9"/>
      <c r="N89" s="9"/>
      <c r="O89" s="9"/>
      <c r="P89" s="72" t="s">
        <v>28</v>
      </c>
      <c r="Q89" s="72"/>
      <c r="R89" s="73" t="str">
        <f>IF(R59=0,"",R59)</f>
        <v>พีรวัส</v>
      </c>
      <c r="S89" s="73"/>
      <c r="T89" s="73"/>
      <c r="U89" s="97" t="s">
        <v>221</v>
      </c>
      <c r="V89" s="97"/>
      <c r="W89" s="73" t="str">
        <f>IF(W59=0,"",W59)</f>
        <v>วรพงศ์</v>
      </c>
      <c r="X89" s="73"/>
      <c r="Y89" s="73"/>
      <c r="Z89" s="8" t="s">
        <v>29</v>
      </c>
      <c r="AA89" s="74">
        <f>IF(AA59=0,"",AA59)</f>
        <v>46204</v>
      </c>
      <c r="AB89" s="73"/>
      <c r="AC89" s="73"/>
      <c r="AD89" s="9"/>
      <c r="AE89" s="73"/>
      <c r="AF89" s="73"/>
      <c r="AG89" s="73"/>
    </row>
    <row r="91" spans="1:33" ht="23.25" x14ac:dyDescent="0.5">
      <c r="A91" s="80" t="s">
        <v>210</v>
      </c>
      <c r="B91" s="80"/>
      <c r="C91" s="80"/>
      <c r="D91" s="80"/>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row>
    <row r="92" spans="1:33" s="1" customFormat="1" ht="21" x14ac:dyDescent="0.45">
      <c r="A92" s="6" t="s">
        <v>22</v>
      </c>
      <c r="B92" s="81" t="s">
        <v>172</v>
      </c>
      <c r="C92" s="81"/>
      <c r="D92" s="81"/>
      <c r="E92" s="81"/>
      <c r="F92" s="81"/>
      <c r="G92" s="81"/>
      <c r="H92" s="6" t="s">
        <v>24</v>
      </c>
      <c r="I92" s="84" t="s">
        <v>216</v>
      </c>
      <c r="J92" s="88"/>
      <c r="K92" s="88"/>
      <c r="L92" s="88"/>
      <c r="M92" s="83" t="s">
        <v>25</v>
      </c>
      <c r="N92" s="83"/>
      <c r="O92" s="81" t="s">
        <v>39</v>
      </c>
      <c r="P92" s="81"/>
      <c r="Q92" s="81"/>
      <c r="R92" s="81"/>
      <c r="S92" s="81"/>
      <c r="T92" s="6" t="s">
        <v>20</v>
      </c>
      <c r="U92" s="101">
        <f>$U$2</f>
        <v>2569</v>
      </c>
      <c r="V92" s="101"/>
      <c r="W92" s="83" t="s">
        <v>35</v>
      </c>
      <c r="X92" s="83"/>
      <c r="Y92" s="83"/>
      <c r="Z92" s="1" t="s">
        <v>220</v>
      </c>
    </row>
    <row r="93" spans="1:33" ht="18.75" customHeight="1" x14ac:dyDescent="0.2">
      <c r="A93" s="20" t="s">
        <v>0</v>
      </c>
      <c r="B93" s="21" t="s">
        <v>2</v>
      </c>
      <c r="C93" s="98" t="str">
        <f>C63</f>
        <v>เดือน กรกฏาคม</v>
      </c>
      <c r="D93" s="99"/>
      <c r="E93" s="99"/>
      <c r="F93" s="99"/>
      <c r="G93" s="99"/>
      <c r="H93" s="99"/>
      <c r="I93" s="99"/>
      <c r="J93" s="99"/>
      <c r="K93" s="99"/>
      <c r="L93" s="99"/>
      <c r="M93" s="99"/>
      <c r="N93" s="99"/>
      <c r="O93" s="99"/>
      <c r="P93" s="99"/>
      <c r="Q93" s="99"/>
      <c r="R93" s="99"/>
      <c r="S93" s="99"/>
      <c r="T93" s="99"/>
      <c r="U93" s="99"/>
      <c r="V93" s="99"/>
      <c r="W93" s="99"/>
      <c r="X93" s="99"/>
      <c r="Y93" s="99"/>
      <c r="Z93" s="99"/>
      <c r="AA93" s="99"/>
      <c r="AB93" s="99"/>
      <c r="AC93" s="99"/>
      <c r="AD93" s="99"/>
      <c r="AE93" s="99"/>
      <c r="AF93" s="99"/>
      <c r="AG93" s="99"/>
    </row>
    <row r="94" spans="1:33" ht="18" x14ac:dyDescent="0.2">
      <c r="A94" s="23" t="s">
        <v>1</v>
      </c>
      <c r="B94" s="24" t="s">
        <v>3</v>
      </c>
      <c r="C94" s="22">
        <f>C64</f>
        <v>1</v>
      </c>
      <c r="D94" s="22">
        <f>D64</f>
        <v>2</v>
      </c>
      <c r="E94" s="22">
        <f t="shared" ref="E94:AG94" si="4">E64</f>
        <v>3</v>
      </c>
      <c r="F94" s="22">
        <f t="shared" si="4"/>
        <v>4</v>
      </c>
      <c r="G94" s="22">
        <f t="shared" si="4"/>
        <v>5</v>
      </c>
      <c r="H94" s="22">
        <f t="shared" si="4"/>
        <v>6</v>
      </c>
      <c r="I94" s="22">
        <f t="shared" si="4"/>
        <v>7</v>
      </c>
      <c r="J94" s="22">
        <f t="shared" si="4"/>
        <v>8</v>
      </c>
      <c r="K94" s="22">
        <f t="shared" si="4"/>
        <v>9</v>
      </c>
      <c r="L94" s="22">
        <f t="shared" si="4"/>
        <v>10</v>
      </c>
      <c r="M94" s="22">
        <f t="shared" si="4"/>
        <v>11</v>
      </c>
      <c r="N94" s="22">
        <f t="shared" si="4"/>
        <v>12</v>
      </c>
      <c r="O94" s="22">
        <f t="shared" si="4"/>
        <v>13</v>
      </c>
      <c r="P94" s="22">
        <f t="shared" si="4"/>
        <v>14</v>
      </c>
      <c r="Q94" s="22">
        <f t="shared" si="4"/>
        <v>15</v>
      </c>
      <c r="R94" s="22">
        <f t="shared" si="4"/>
        <v>16</v>
      </c>
      <c r="S94" s="22">
        <f t="shared" si="4"/>
        <v>17</v>
      </c>
      <c r="T94" s="22">
        <f t="shared" si="4"/>
        <v>18</v>
      </c>
      <c r="U94" s="22">
        <f t="shared" si="4"/>
        <v>19</v>
      </c>
      <c r="V94" s="22">
        <f t="shared" si="4"/>
        <v>20</v>
      </c>
      <c r="W94" s="22">
        <f t="shared" si="4"/>
        <v>21</v>
      </c>
      <c r="X94" s="22">
        <f t="shared" si="4"/>
        <v>22</v>
      </c>
      <c r="Y94" s="22">
        <f t="shared" si="4"/>
        <v>23</v>
      </c>
      <c r="Z94" s="22">
        <f t="shared" si="4"/>
        <v>24</v>
      </c>
      <c r="AA94" s="22">
        <f t="shared" si="4"/>
        <v>25</v>
      </c>
      <c r="AB94" s="22">
        <f t="shared" si="4"/>
        <v>26</v>
      </c>
      <c r="AC94" s="22">
        <f t="shared" si="4"/>
        <v>27</v>
      </c>
      <c r="AD94" s="22">
        <f t="shared" si="4"/>
        <v>28</v>
      </c>
      <c r="AE94" s="22">
        <f t="shared" si="4"/>
        <v>29</v>
      </c>
      <c r="AF94" s="22">
        <f t="shared" si="4"/>
        <v>30</v>
      </c>
      <c r="AG94" s="22">
        <f t="shared" si="4"/>
        <v>31</v>
      </c>
    </row>
    <row r="95" spans="1:33" ht="18" x14ac:dyDescent="0.2">
      <c r="A95" s="25"/>
      <c r="B95" s="26" t="s">
        <v>4</v>
      </c>
      <c r="C95" s="22">
        <f>_xlfn.IFNA(IF(OR(C94="",C94=0),"",(VLOOKUP(B95,'น้ำยา-เครื่อง'!$A:$AF,C94+1,FALSE))),"")</f>
        <v>1</v>
      </c>
      <c r="D95" s="22">
        <f>_xlfn.IFNA(IF(OR(D94="",D94=0),"",(VLOOKUP(B95,'น้ำยา-เครื่อง'!$A:$AF,D94+1,FALSE))),"")</f>
        <v>1</v>
      </c>
      <c r="E95" s="22">
        <f>_xlfn.IFNA(IF(OR(E94="",E94=0),"",(VLOOKUP(B95,'น้ำยา-เครื่อง'!$A:$AF,E94+1,FALSE))),"")</f>
        <v>1</v>
      </c>
      <c r="F95" s="22">
        <f>_xlfn.IFNA(IF(OR(F94="",F94=0),"",(VLOOKUP(B95,'น้ำยา-เครื่อง'!$A:$AF,F94+1,FALSE))),"")</f>
        <v>0</v>
      </c>
      <c r="G95" s="22">
        <f>_xlfn.IFNA(IF(OR(G94="",G94=0),"",(VLOOKUP(B95,'น้ำยา-เครื่อง'!$A:$AF,G94+1,FALSE))),"")</f>
        <v>0</v>
      </c>
      <c r="H95" s="22">
        <f>_xlfn.IFNA(IF(OR(H94="",H94=0),"",(VLOOKUP(B95,'น้ำยา-เครื่อง'!$A:$AF,H94+1,FALSE))),"")</f>
        <v>2</v>
      </c>
      <c r="I95" s="22">
        <f>_xlfn.IFNA(IF(OR(I94="",I94=0),"",(VLOOKUP(B95,'น้ำยา-เครื่อง'!$A:$AF,I94+1,FALSE))),"")</f>
        <v>2</v>
      </c>
      <c r="J95" s="22">
        <f>_xlfn.IFNA(IF(OR(J94="",J94=0),"",(VLOOKUP(B95,'น้ำยา-เครื่อง'!$A:$AF,J94+1,FALSE))),"")</f>
        <v>2</v>
      </c>
      <c r="K95" s="22">
        <f>_xlfn.IFNA(IF(OR(K94="",K94=0),"",(VLOOKUP(B95,'น้ำยา-เครื่อง'!$A:$AF,K94+1,FALSE))),"")</f>
        <v>2</v>
      </c>
      <c r="L95" s="22">
        <f>_xlfn.IFNA(IF(OR(L94="",L94=0),"",(VLOOKUP(B95,'น้ำยา-เครื่อง'!$A:$AF,L94+1,FALSE))),"")</f>
        <v>2</v>
      </c>
      <c r="M95" s="22">
        <f>_xlfn.IFNA(IF(OR(M94="",M94=0),"",(VLOOKUP(B95,'น้ำยา-เครื่อง'!$A:$AF,M94+1,FALSE))),"")</f>
        <v>0</v>
      </c>
      <c r="N95" s="22">
        <f>_xlfn.IFNA(IF(OR(N94="",N94=0),"",(VLOOKUP(B95,'น้ำยา-เครื่อง'!$A:$AF,N94+1,FALSE))),"")</f>
        <v>0</v>
      </c>
      <c r="O95" s="22">
        <f>_xlfn.IFNA(IF(OR(O94="",O94=0),"",(VLOOKUP(B95,'น้ำยา-เครื่อง'!$A:$AF,O94+1,FALSE))),"")</f>
        <v>1</v>
      </c>
      <c r="P95" s="22">
        <f>_xlfn.IFNA(IF(OR(P94="",P94=0),"",(VLOOKUP(B95,'น้ำยา-เครื่อง'!$A:$AF,P94+1,FALSE))),"")</f>
        <v>1</v>
      </c>
      <c r="Q95" s="22">
        <f>_xlfn.IFNA(IF(OR(Q94="",Q94=0),"",(VLOOKUP(B95,'น้ำยา-เครื่อง'!$A:$AF,Q94+1,FALSE))),"")</f>
        <v>1</v>
      </c>
      <c r="R95" s="22">
        <f>_xlfn.IFNA(IF(OR(R94="",R94=0),"",(VLOOKUP(B95,'น้ำยา-เครื่อง'!$A:$AF,R94+1,FALSE))),"")</f>
        <v>1</v>
      </c>
      <c r="S95" s="22">
        <f>_xlfn.IFNA(IF(OR(S94="",S94=0),"",(VLOOKUP(B95,'น้ำยา-เครื่อง'!$A:$AF,S94+1,FALSE))),"")</f>
        <v>1</v>
      </c>
      <c r="T95" s="22">
        <f>_xlfn.IFNA(IF(OR(T94="",T94=0),"",(VLOOKUP(B95,'น้ำยา-เครื่อง'!$A:$AF,T94+1,FALSE))),"")</f>
        <v>0</v>
      </c>
      <c r="U95" s="22">
        <f>_xlfn.IFNA(IF(OR(U94="",U94=0),"",(VLOOKUP(B95,'น้ำยา-เครื่อง'!$A:$AF,U94+1,FALSE))),"")</f>
        <v>0</v>
      </c>
      <c r="V95" s="22">
        <f>_xlfn.IFNA(IF(OR(V94="",V94=0),"",(VLOOKUP(B95,'น้ำยา-เครื่อง'!$A:$AF,V94+1,FALSE))),"")</f>
        <v>2</v>
      </c>
      <c r="W95" s="22">
        <f>_xlfn.IFNA(IF(OR(W94="",W94=0),"",(VLOOKUP(B95,'น้ำยา-เครื่อง'!$A:$AF,W94+1,FALSE))),"")</f>
        <v>2</v>
      </c>
      <c r="X95" s="22">
        <f>_xlfn.IFNA(IF(OR(X94="",X94=0),"",(VLOOKUP(B95,'น้ำยา-เครื่อง'!$A:$AF,X94+1,FALSE))),"")</f>
        <v>2</v>
      </c>
      <c r="Y95" s="22">
        <f>_xlfn.IFNA(IF(OR(Y94="",Y94=0),"",(VLOOKUP(B95,'น้ำยา-เครื่อง'!$A:$AF,Y94+1,FALSE))),"")</f>
        <v>2</v>
      </c>
      <c r="Z95" s="22">
        <f>_xlfn.IFNA(IF(OR(Z94="",Z94=0),"",(VLOOKUP(B95,'น้ำยา-เครื่อง'!$A:$AF,Z94+1,FALSE))),"")</f>
        <v>2</v>
      </c>
      <c r="AA95" s="22">
        <f>_xlfn.IFNA(IF(OR(AA94="",AA94=0),"",(VLOOKUP(B95,'น้ำยา-เครื่อง'!$A:$AF,AA94+1,FALSE))),"")</f>
        <v>0</v>
      </c>
      <c r="AB95" s="22">
        <f>_xlfn.IFNA(IF(OR(AB94="",AB94=0),"",(VLOOKUP(B95,'น้ำยา-เครื่อง'!$A:$AF,AB94+1,FALSE))),"")</f>
        <v>0</v>
      </c>
      <c r="AC95" s="22">
        <f>_xlfn.IFNA(IF(OR(AC94="",AC94=0),"",(VLOOKUP(B95,'น้ำยา-เครื่อง'!$A:$AF,AC94+1,FALSE))),"")</f>
        <v>1</v>
      </c>
      <c r="AD95" s="22">
        <f>_xlfn.IFNA(IF(OR(AD94="",AD94=0),"",(VLOOKUP(B95,'น้ำยา-เครื่อง'!$A:$AF,AD94+1,FALSE))),"")</f>
        <v>1</v>
      </c>
      <c r="AE95" s="22">
        <f>_xlfn.IFNA(IF(OR(AE94="",AE94=0),"",(VLOOKUP(B95,'น้ำยา-เครื่อง'!$A:$AF,AE94+1,FALSE))),"")</f>
        <v>1</v>
      </c>
      <c r="AF95" s="22">
        <f>_xlfn.IFNA(IF(OR(AF94="",AF94=0),"",(VLOOKUP(B95,'น้ำยา-เครื่อง'!$A:$AF,AF94+1,FALSE))),"")</f>
        <v>1</v>
      </c>
      <c r="AG95" s="22">
        <f>_xlfn.IFNA(IF(OR(AG94="",AG94=0),"",(VLOOKUP(B95,'น้ำยา-เครื่อง'!$A:$AF,AG94+1,FALSE))),"")</f>
        <v>1</v>
      </c>
    </row>
    <row r="96" spans="1:33" ht="18.75" customHeight="1" x14ac:dyDescent="0.2">
      <c r="A96" s="70" t="s">
        <v>212</v>
      </c>
      <c r="B96" s="27" t="s">
        <v>5</v>
      </c>
      <c r="C96" s="28" t="str">
        <f>IF(C66="","",C66)</f>
        <v>O</v>
      </c>
      <c r="D96" s="28" t="str">
        <f t="shared" ref="D96:AG96" si="5">IF(D66="","",D66)</f>
        <v/>
      </c>
      <c r="E96" s="28" t="str">
        <f t="shared" si="5"/>
        <v/>
      </c>
      <c r="F96" s="28" t="str">
        <f>IF(F66="","",F66)</f>
        <v/>
      </c>
      <c r="G96" s="28" t="str">
        <f t="shared" si="5"/>
        <v/>
      </c>
      <c r="H96" s="28" t="str">
        <f t="shared" si="5"/>
        <v/>
      </c>
      <c r="I96" s="28" t="str">
        <f t="shared" si="5"/>
        <v>O</v>
      </c>
      <c r="J96" s="28" t="str">
        <f t="shared" si="5"/>
        <v>O</v>
      </c>
      <c r="K96" s="28" t="str">
        <f t="shared" si="5"/>
        <v>O</v>
      </c>
      <c r="L96" s="28" t="str">
        <f t="shared" si="5"/>
        <v/>
      </c>
      <c r="M96" s="28" t="str">
        <f t="shared" si="5"/>
        <v/>
      </c>
      <c r="N96" s="28" t="str">
        <f t="shared" si="5"/>
        <v/>
      </c>
      <c r="O96" s="28" t="str">
        <f t="shared" si="5"/>
        <v/>
      </c>
      <c r="P96" s="28" t="str">
        <f t="shared" si="5"/>
        <v>O</v>
      </c>
      <c r="Q96" s="28" t="str">
        <f t="shared" si="5"/>
        <v>O</v>
      </c>
      <c r="R96" s="28" t="str">
        <f t="shared" si="5"/>
        <v>O</v>
      </c>
      <c r="S96" s="28" t="str">
        <f t="shared" si="5"/>
        <v/>
      </c>
      <c r="T96" s="28" t="str">
        <f t="shared" si="5"/>
        <v/>
      </c>
      <c r="U96" s="28" t="str">
        <f t="shared" si="5"/>
        <v/>
      </c>
      <c r="V96" s="28" t="str">
        <f t="shared" si="5"/>
        <v/>
      </c>
      <c r="W96" s="28" t="str">
        <f t="shared" si="5"/>
        <v>O</v>
      </c>
      <c r="X96" s="28" t="str">
        <f t="shared" si="5"/>
        <v>O</v>
      </c>
      <c r="Y96" s="28" t="str">
        <f t="shared" si="5"/>
        <v>O</v>
      </c>
      <c r="Z96" s="28" t="str">
        <f t="shared" si="5"/>
        <v/>
      </c>
      <c r="AA96" s="28" t="str">
        <f t="shared" si="5"/>
        <v/>
      </c>
      <c r="AB96" s="28" t="str">
        <f t="shared" si="5"/>
        <v/>
      </c>
      <c r="AC96" s="28" t="str">
        <f t="shared" si="5"/>
        <v/>
      </c>
      <c r="AD96" s="28" t="str">
        <f t="shared" si="5"/>
        <v/>
      </c>
      <c r="AE96" s="28" t="str">
        <f t="shared" si="5"/>
        <v/>
      </c>
      <c r="AF96" s="28" t="str">
        <f t="shared" si="5"/>
        <v/>
      </c>
      <c r="AG96" s="28" t="str">
        <f t="shared" si="5"/>
        <v/>
      </c>
    </row>
    <row r="97" spans="1:33" ht="18" x14ac:dyDescent="0.2">
      <c r="A97" s="70"/>
      <c r="B97" s="27" t="s">
        <v>6</v>
      </c>
      <c r="C97" s="28" t="str">
        <f t="shared" ref="C97:AG97" si="6">IF(C67="","",C67)</f>
        <v/>
      </c>
      <c r="D97" s="28" t="str">
        <f t="shared" si="6"/>
        <v/>
      </c>
      <c r="E97" s="28" t="str">
        <f t="shared" si="6"/>
        <v/>
      </c>
      <c r="F97" s="28" t="str">
        <f t="shared" si="6"/>
        <v/>
      </c>
      <c r="G97" s="28" t="str">
        <f t="shared" si="6"/>
        <v/>
      </c>
      <c r="H97" s="28" t="str">
        <f t="shared" si="6"/>
        <v/>
      </c>
      <c r="I97" s="28" t="str">
        <f t="shared" si="6"/>
        <v/>
      </c>
      <c r="J97" s="28" t="str">
        <f t="shared" si="6"/>
        <v/>
      </c>
      <c r="K97" s="28" t="str">
        <f t="shared" si="6"/>
        <v/>
      </c>
      <c r="L97" s="28" t="str">
        <f t="shared" si="6"/>
        <v/>
      </c>
      <c r="M97" s="28" t="str">
        <f t="shared" si="6"/>
        <v/>
      </c>
      <c r="N97" s="28" t="str">
        <f t="shared" si="6"/>
        <v/>
      </c>
      <c r="O97" s="28" t="str">
        <f t="shared" si="6"/>
        <v/>
      </c>
      <c r="P97" s="28" t="str">
        <f t="shared" si="6"/>
        <v/>
      </c>
      <c r="Q97" s="28" t="str">
        <f t="shared" si="6"/>
        <v/>
      </c>
      <c r="R97" s="28" t="str">
        <f t="shared" si="6"/>
        <v/>
      </c>
      <c r="S97" s="28" t="str">
        <f t="shared" si="6"/>
        <v/>
      </c>
      <c r="T97" s="28" t="str">
        <f t="shared" si="6"/>
        <v/>
      </c>
      <c r="U97" s="28" t="str">
        <f t="shared" si="6"/>
        <v/>
      </c>
      <c r="V97" s="28" t="str">
        <f t="shared" si="6"/>
        <v/>
      </c>
      <c r="W97" s="28" t="str">
        <f t="shared" si="6"/>
        <v/>
      </c>
      <c r="X97" s="28" t="str">
        <f t="shared" si="6"/>
        <v/>
      </c>
      <c r="Y97" s="28" t="str">
        <f t="shared" si="6"/>
        <v/>
      </c>
      <c r="Z97" s="28" t="str">
        <f t="shared" si="6"/>
        <v/>
      </c>
      <c r="AA97" s="28" t="str">
        <f t="shared" si="6"/>
        <v/>
      </c>
      <c r="AB97" s="28" t="str">
        <f t="shared" si="6"/>
        <v/>
      </c>
      <c r="AC97" s="28" t="str">
        <f t="shared" si="6"/>
        <v/>
      </c>
      <c r="AD97" s="28" t="str">
        <f t="shared" si="6"/>
        <v/>
      </c>
      <c r="AE97" s="28" t="str">
        <f t="shared" si="6"/>
        <v/>
      </c>
      <c r="AF97" s="28" t="str">
        <f t="shared" si="6"/>
        <v/>
      </c>
      <c r="AG97" s="28" t="str">
        <f t="shared" si="6"/>
        <v/>
      </c>
    </row>
    <row r="98" spans="1:33" ht="18" x14ac:dyDescent="0.2">
      <c r="A98" s="70"/>
      <c r="B98" s="27"/>
      <c r="C98" s="28" t="str">
        <f t="shared" ref="C98:AG98" si="7">IF(C68="","",C68)</f>
        <v/>
      </c>
      <c r="D98" s="28" t="str">
        <f t="shared" si="7"/>
        <v/>
      </c>
      <c r="E98" s="28" t="str">
        <f t="shared" si="7"/>
        <v/>
      </c>
      <c r="F98" s="28" t="str">
        <f t="shared" si="7"/>
        <v/>
      </c>
      <c r="G98" s="28" t="str">
        <f t="shared" si="7"/>
        <v/>
      </c>
      <c r="H98" s="28" t="str">
        <f t="shared" si="7"/>
        <v/>
      </c>
      <c r="I98" s="28" t="str">
        <f t="shared" si="7"/>
        <v/>
      </c>
      <c r="J98" s="28" t="str">
        <f t="shared" si="7"/>
        <v/>
      </c>
      <c r="K98" s="28" t="str">
        <f t="shared" si="7"/>
        <v/>
      </c>
      <c r="L98" s="28" t="str">
        <f t="shared" si="7"/>
        <v/>
      </c>
      <c r="M98" s="28" t="str">
        <f t="shared" si="7"/>
        <v/>
      </c>
      <c r="N98" s="28" t="str">
        <f t="shared" si="7"/>
        <v/>
      </c>
      <c r="O98" s="28" t="str">
        <f t="shared" si="7"/>
        <v/>
      </c>
      <c r="P98" s="28" t="str">
        <f t="shared" si="7"/>
        <v/>
      </c>
      <c r="Q98" s="28" t="str">
        <f t="shared" si="7"/>
        <v/>
      </c>
      <c r="R98" s="28" t="str">
        <f t="shared" si="7"/>
        <v/>
      </c>
      <c r="S98" s="28" t="str">
        <f t="shared" si="7"/>
        <v/>
      </c>
      <c r="T98" s="28" t="str">
        <f t="shared" si="7"/>
        <v/>
      </c>
      <c r="U98" s="28" t="str">
        <f t="shared" si="7"/>
        <v/>
      </c>
      <c r="V98" s="28" t="str">
        <f t="shared" si="7"/>
        <v/>
      </c>
      <c r="W98" s="28" t="str">
        <f t="shared" si="7"/>
        <v/>
      </c>
      <c r="X98" s="28" t="str">
        <f t="shared" si="7"/>
        <v/>
      </c>
      <c r="Y98" s="28" t="str">
        <f t="shared" si="7"/>
        <v/>
      </c>
      <c r="Z98" s="28" t="str">
        <f t="shared" si="7"/>
        <v/>
      </c>
      <c r="AA98" s="28" t="str">
        <f t="shared" si="7"/>
        <v/>
      </c>
      <c r="AB98" s="28" t="str">
        <f t="shared" si="7"/>
        <v/>
      </c>
      <c r="AC98" s="28" t="str">
        <f t="shared" si="7"/>
        <v/>
      </c>
      <c r="AD98" s="28" t="str">
        <f t="shared" si="7"/>
        <v/>
      </c>
      <c r="AE98" s="28" t="str">
        <f t="shared" si="7"/>
        <v/>
      </c>
      <c r="AF98" s="28" t="str">
        <f t="shared" si="7"/>
        <v/>
      </c>
      <c r="AG98" s="28" t="str">
        <f t="shared" si="7"/>
        <v/>
      </c>
    </row>
    <row r="99" spans="1:33" ht="18" customHeight="1" x14ac:dyDescent="0.2">
      <c r="A99" s="70" t="s">
        <v>226</v>
      </c>
      <c r="B99" s="27" t="s">
        <v>5</v>
      </c>
      <c r="C99" s="28" t="str">
        <f t="shared" ref="C99:AG99" si="8">IF(C69="","",C69)</f>
        <v/>
      </c>
      <c r="D99" s="28" t="str">
        <f>IF(D69="","",D69)</f>
        <v/>
      </c>
      <c r="E99" s="28" t="str">
        <f t="shared" si="8"/>
        <v/>
      </c>
      <c r="F99" s="28" t="str">
        <f t="shared" si="8"/>
        <v/>
      </c>
      <c r="G99" s="28" t="str">
        <f t="shared" si="8"/>
        <v/>
      </c>
      <c r="H99" s="28" t="str">
        <f t="shared" si="8"/>
        <v>O</v>
      </c>
      <c r="I99" s="28" t="str">
        <f t="shared" si="8"/>
        <v/>
      </c>
      <c r="J99" s="28"/>
      <c r="K99" s="28" t="str">
        <f t="shared" si="8"/>
        <v/>
      </c>
      <c r="L99" s="28" t="str">
        <f t="shared" si="8"/>
        <v/>
      </c>
      <c r="M99" s="28" t="str">
        <f t="shared" si="8"/>
        <v/>
      </c>
      <c r="N99" s="28" t="str">
        <f t="shared" si="8"/>
        <v/>
      </c>
      <c r="O99" s="28" t="str">
        <f t="shared" si="8"/>
        <v>O</v>
      </c>
      <c r="P99" s="28" t="str">
        <f t="shared" si="8"/>
        <v/>
      </c>
      <c r="Q99" s="28" t="str">
        <f t="shared" si="8"/>
        <v/>
      </c>
      <c r="R99" s="28" t="str">
        <f t="shared" si="8"/>
        <v/>
      </c>
      <c r="S99" s="28" t="str">
        <f t="shared" si="8"/>
        <v/>
      </c>
      <c r="T99" s="28" t="str">
        <f t="shared" si="8"/>
        <v/>
      </c>
      <c r="U99" s="28" t="str">
        <f t="shared" si="8"/>
        <v/>
      </c>
      <c r="V99" s="28" t="str">
        <f t="shared" si="8"/>
        <v>O</v>
      </c>
      <c r="W99" s="28" t="str">
        <f t="shared" si="8"/>
        <v/>
      </c>
      <c r="X99" s="28" t="str">
        <f t="shared" si="8"/>
        <v/>
      </c>
      <c r="Y99" s="28" t="str">
        <f t="shared" si="8"/>
        <v/>
      </c>
      <c r="Z99" s="28" t="str">
        <f t="shared" si="8"/>
        <v/>
      </c>
      <c r="AA99" s="28" t="str">
        <f t="shared" si="8"/>
        <v/>
      </c>
      <c r="AB99" s="28" t="str">
        <f t="shared" si="8"/>
        <v/>
      </c>
      <c r="AC99" s="28" t="str">
        <f t="shared" si="8"/>
        <v/>
      </c>
      <c r="AD99" s="28" t="str">
        <f t="shared" si="8"/>
        <v/>
      </c>
      <c r="AE99" s="28" t="str">
        <f t="shared" si="8"/>
        <v/>
      </c>
      <c r="AF99" s="28" t="str">
        <f t="shared" si="8"/>
        <v/>
      </c>
      <c r="AG99" s="28" t="str">
        <f t="shared" si="8"/>
        <v/>
      </c>
    </row>
    <row r="100" spans="1:33" ht="18" x14ac:dyDescent="0.2">
      <c r="A100" s="70"/>
      <c r="B100" s="27" t="s">
        <v>6</v>
      </c>
      <c r="C100" s="28" t="str">
        <f t="shared" ref="C100:AG100" si="9">IF(C70="","",C70)</f>
        <v/>
      </c>
      <c r="D100" s="28" t="str">
        <f t="shared" si="9"/>
        <v/>
      </c>
      <c r="E100" s="28" t="str">
        <f t="shared" si="9"/>
        <v/>
      </c>
      <c r="F100" s="28" t="str">
        <f t="shared" si="9"/>
        <v/>
      </c>
      <c r="G100" s="28" t="str">
        <f t="shared" si="9"/>
        <v/>
      </c>
      <c r="H100" s="28" t="str">
        <f t="shared" si="9"/>
        <v/>
      </c>
      <c r="I100" s="28" t="str">
        <f t="shared" si="9"/>
        <v/>
      </c>
      <c r="J100" s="28" t="str">
        <f t="shared" si="9"/>
        <v/>
      </c>
      <c r="K100" s="28" t="str">
        <f t="shared" si="9"/>
        <v/>
      </c>
      <c r="L100" s="28" t="str">
        <f t="shared" si="9"/>
        <v/>
      </c>
      <c r="M100" s="28" t="str">
        <f t="shared" si="9"/>
        <v/>
      </c>
      <c r="N100" s="28" t="str">
        <f t="shared" si="9"/>
        <v/>
      </c>
      <c r="O100" s="28" t="str">
        <f t="shared" si="9"/>
        <v/>
      </c>
      <c r="P100" s="28" t="str">
        <f t="shared" si="9"/>
        <v/>
      </c>
      <c r="Q100" s="28" t="str">
        <f t="shared" si="9"/>
        <v/>
      </c>
      <c r="R100" s="28" t="str">
        <f t="shared" si="9"/>
        <v/>
      </c>
      <c r="S100" s="28" t="str">
        <f t="shared" si="9"/>
        <v/>
      </c>
      <c r="T100" s="28" t="str">
        <f t="shared" si="9"/>
        <v/>
      </c>
      <c r="U100" s="28" t="str">
        <f t="shared" si="9"/>
        <v/>
      </c>
      <c r="V100" s="28" t="str">
        <f t="shared" si="9"/>
        <v/>
      </c>
      <c r="W100" s="28" t="str">
        <f t="shared" si="9"/>
        <v/>
      </c>
      <c r="X100" s="28" t="str">
        <f t="shared" si="9"/>
        <v/>
      </c>
      <c r="Y100" s="28" t="str">
        <f t="shared" si="9"/>
        <v/>
      </c>
      <c r="Z100" s="28" t="str">
        <f t="shared" si="9"/>
        <v/>
      </c>
      <c r="AA100" s="28" t="str">
        <f t="shared" si="9"/>
        <v/>
      </c>
      <c r="AB100" s="28" t="str">
        <f t="shared" si="9"/>
        <v/>
      </c>
      <c r="AC100" s="28" t="str">
        <f t="shared" si="9"/>
        <v/>
      </c>
      <c r="AD100" s="28" t="str">
        <f t="shared" si="9"/>
        <v/>
      </c>
      <c r="AE100" s="28" t="str">
        <f t="shared" si="9"/>
        <v/>
      </c>
      <c r="AF100" s="28" t="str">
        <f t="shared" si="9"/>
        <v/>
      </c>
      <c r="AG100" s="28" t="str">
        <f t="shared" si="9"/>
        <v/>
      </c>
    </row>
    <row r="101" spans="1:33" ht="18" x14ac:dyDescent="0.2">
      <c r="A101" s="70"/>
      <c r="B101" s="27"/>
      <c r="C101" s="28" t="str">
        <f t="shared" ref="C101:AG101" si="10">IF(C71="","",C71)</f>
        <v/>
      </c>
      <c r="D101" s="28" t="str">
        <f t="shared" si="10"/>
        <v/>
      </c>
      <c r="E101" s="28" t="str">
        <f t="shared" si="10"/>
        <v/>
      </c>
      <c r="F101" s="28" t="str">
        <f t="shared" si="10"/>
        <v/>
      </c>
      <c r="G101" s="28" t="str">
        <f t="shared" si="10"/>
        <v/>
      </c>
      <c r="H101" s="28" t="str">
        <f t="shared" si="10"/>
        <v/>
      </c>
      <c r="I101" s="28" t="str">
        <f t="shared" si="10"/>
        <v/>
      </c>
      <c r="J101" s="28" t="str">
        <f t="shared" si="10"/>
        <v/>
      </c>
      <c r="K101" s="28" t="str">
        <f t="shared" si="10"/>
        <v/>
      </c>
      <c r="L101" s="28" t="str">
        <f t="shared" si="10"/>
        <v/>
      </c>
      <c r="M101" s="28" t="str">
        <f t="shared" si="10"/>
        <v/>
      </c>
      <c r="N101" s="28" t="str">
        <f t="shared" si="10"/>
        <v/>
      </c>
      <c r="O101" s="28" t="str">
        <f t="shared" si="10"/>
        <v/>
      </c>
      <c r="P101" s="28" t="str">
        <f t="shared" si="10"/>
        <v/>
      </c>
      <c r="Q101" s="28" t="str">
        <f t="shared" si="10"/>
        <v/>
      </c>
      <c r="R101" s="28" t="str">
        <f t="shared" si="10"/>
        <v/>
      </c>
      <c r="S101" s="28" t="str">
        <f t="shared" si="10"/>
        <v/>
      </c>
      <c r="T101" s="28" t="str">
        <f t="shared" si="10"/>
        <v/>
      </c>
      <c r="U101" s="28" t="str">
        <f t="shared" si="10"/>
        <v/>
      </c>
      <c r="V101" s="28" t="str">
        <f t="shared" si="10"/>
        <v/>
      </c>
      <c r="W101" s="28" t="str">
        <f t="shared" si="10"/>
        <v/>
      </c>
      <c r="X101" s="28" t="str">
        <f t="shared" si="10"/>
        <v/>
      </c>
      <c r="Y101" s="28" t="str">
        <f t="shared" si="10"/>
        <v/>
      </c>
      <c r="Z101" s="28" t="str">
        <f t="shared" si="10"/>
        <v/>
      </c>
      <c r="AA101" s="28" t="str">
        <f t="shared" si="10"/>
        <v/>
      </c>
      <c r="AB101" s="28" t="str">
        <f t="shared" si="10"/>
        <v/>
      </c>
      <c r="AC101" s="28" t="str">
        <f t="shared" si="10"/>
        <v/>
      </c>
      <c r="AD101" s="28" t="str">
        <f t="shared" si="10"/>
        <v/>
      </c>
      <c r="AE101" s="28" t="str">
        <f t="shared" si="10"/>
        <v/>
      </c>
      <c r="AF101" s="28" t="str">
        <f t="shared" si="10"/>
        <v/>
      </c>
      <c r="AG101" s="28" t="str">
        <f t="shared" si="10"/>
        <v/>
      </c>
    </row>
    <row r="102" spans="1:33" ht="18" customHeight="1" x14ac:dyDescent="0.2">
      <c r="A102" s="70"/>
      <c r="B102" s="27" t="s">
        <v>5</v>
      </c>
      <c r="C102" s="28" t="str">
        <f t="shared" ref="C102:AG102" si="11">IF(C72="","",C72)</f>
        <v/>
      </c>
      <c r="D102" s="28" t="str">
        <f>IF(D72="","",D72)</f>
        <v/>
      </c>
      <c r="E102" s="28" t="str">
        <f t="shared" si="11"/>
        <v/>
      </c>
      <c r="F102" s="28" t="str">
        <f t="shared" si="11"/>
        <v/>
      </c>
      <c r="G102" s="28" t="str">
        <f t="shared" si="11"/>
        <v/>
      </c>
      <c r="H102" s="28" t="str">
        <f t="shared" si="11"/>
        <v/>
      </c>
      <c r="I102" s="28" t="str">
        <f t="shared" si="11"/>
        <v/>
      </c>
      <c r="J102" s="28" t="str">
        <f t="shared" si="11"/>
        <v/>
      </c>
      <c r="K102" s="28" t="str">
        <f t="shared" si="11"/>
        <v/>
      </c>
      <c r="L102" s="28" t="str">
        <f t="shared" si="11"/>
        <v/>
      </c>
      <c r="M102" s="28" t="str">
        <f t="shared" si="11"/>
        <v/>
      </c>
      <c r="N102" s="28" t="str">
        <f t="shared" si="11"/>
        <v/>
      </c>
      <c r="O102" s="28" t="str">
        <f t="shared" si="11"/>
        <v/>
      </c>
      <c r="P102" s="28" t="str">
        <f t="shared" si="11"/>
        <v/>
      </c>
      <c r="Q102" s="28" t="str">
        <f t="shared" si="11"/>
        <v/>
      </c>
      <c r="R102" s="28" t="str">
        <f t="shared" si="11"/>
        <v/>
      </c>
      <c r="S102" s="28" t="str">
        <f t="shared" si="11"/>
        <v/>
      </c>
      <c r="T102" s="28" t="str">
        <f t="shared" si="11"/>
        <v/>
      </c>
      <c r="U102" s="28" t="str">
        <f t="shared" si="11"/>
        <v/>
      </c>
      <c r="V102" s="28" t="str">
        <f t="shared" si="11"/>
        <v/>
      </c>
      <c r="W102" s="28" t="str">
        <f t="shared" si="11"/>
        <v/>
      </c>
      <c r="X102" s="28" t="str">
        <f t="shared" si="11"/>
        <v/>
      </c>
      <c r="Y102" s="28" t="str">
        <f t="shared" si="11"/>
        <v/>
      </c>
      <c r="Z102" s="28" t="str">
        <f t="shared" si="11"/>
        <v/>
      </c>
      <c r="AA102" s="28" t="str">
        <f t="shared" si="11"/>
        <v/>
      </c>
      <c r="AB102" s="28" t="str">
        <f t="shared" si="11"/>
        <v/>
      </c>
      <c r="AC102" s="28" t="str">
        <f t="shared" si="11"/>
        <v/>
      </c>
      <c r="AD102" s="28" t="str">
        <f t="shared" si="11"/>
        <v/>
      </c>
      <c r="AE102" s="28" t="str">
        <f t="shared" si="11"/>
        <v/>
      </c>
      <c r="AF102" s="28" t="str">
        <f t="shared" si="11"/>
        <v/>
      </c>
      <c r="AG102" s="28" t="str">
        <f t="shared" si="11"/>
        <v/>
      </c>
    </row>
    <row r="103" spans="1:33" ht="18" x14ac:dyDescent="0.2">
      <c r="A103" s="70"/>
      <c r="B103" s="27" t="s">
        <v>6</v>
      </c>
      <c r="C103" s="28" t="str">
        <f t="shared" ref="C103:AG103" si="12">IF(C73="","",C73)</f>
        <v/>
      </c>
      <c r="D103" s="28" t="str">
        <f t="shared" si="12"/>
        <v/>
      </c>
      <c r="E103" s="28" t="str">
        <f t="shared" si="12"/>
        <v/>
      </c>
      <c r="F103" s="28" t="str">
        <f t="shared" si="12"/>
        <v/>
      </c>
      <c r="G103" s="28" t="str">
        <f t="shared" si="12"/>
        <v/>
      </c>
      <c r="H103" s="28" t="str">
        <f t="shared" si="12"/>
        <v/>
      </c>
      <c r="I103" s="28" t="str">
        <f t="shared" si="12"/>
        <v/>
      </c>
      <c r="J103" s="28" t="str">
        <f t="shared" si="12"/>
        <v/>
      </c>
      <c r="K103" s="28" t="str">
        <f t="shared" si="12"/>
        <v/>
      </c>
      <c r="L103" s="28" t="str">
        <f t="shared" si="12"/>
        <v/>
      </c>
      <c r="M103" s="28" t="str">
        <f t="shared" si="12"/>
        <v/>
      </c>
      <c r="N103" s="28" t="str">
        <f t="shared" si="12"/>
        <v/>
      </c>
      <c r="O103" s="28" t="str">
        <f t="shared" si="12"/>
        <v/>
      </c>
      <c r="P103" s="28" t="str">
        <f t="shared" si="12"/>
        <v/>
      </c>
      <c r="Q103" s="28" t="str">
        <f t="shared" si="12"/>
        <v/>
      </c>
      <c r="R103" s="28" t="str">
        <f t="shared" si="12"/>
        <v/>
      </c>
      <c r="S103" s="28" t="str">
        <f t="shared" si="12"/>
        <v/>
      </c>
      <c r="T103" s="28" t="str">
        <f t="shared" si="12"/>
        <v/>
      </c>
      <c r="U103" s="28" t="str">
        <f t="shared" si="12"/>
        <v/>
      </c>
      <c r="V103" s="28" t="str">
        <f t="shared" si="12"/>
        <v/>
      </c>
      <c r="W103" s="28" t="str">
        <f t="shared" si="12"/>
        <v/>
      </c>
      <c r="X103" s="28" t="str">
        <f t="shared" si="12"/>
        <v/>
      </c>
      <c r="Y103" s="28" t="str">
        <f t="shared" si="12"/>
        <v/>
      </c>
      <c r="Z103" s="28" t="str">
        <f t="shared" si="12"/>
        <v/>
      </c>
      <c r="AA103" s="28" t="str">
        <f t="shared" si="12"/>
        <v/>
      </c>
      <c r="AB103" s="28" t="str">
        <f t="shared" si="12"/>
        <v/>
      </c>
      <c r="AC103" s="28" t="str">
        <f t="shared" si="12"/>
        <v/>
      </c>
      <c r="AD103" s="28" t="str">
        <f t="shared" si="12"/>
        <v/>
      </c>
      <c r="AE103" s="28" t="str">
        <f t="shared" si="12"/>
        <v/>
      </c>
      <c r="AF103" s="28" t="str">
        <f t="shared" si="12"/>
        <v/>
      </c>
      <c r="AG103" s="28" t="str">
        <f t="shared" si="12"/>
        <v/>
      </c>
    </row>
    <row r="104" spans="1:33" ht="18" x14ac:dyDescent="0.2">
      <c r="A104" s="70"/>
      <c r="B104" s="27"/>
      <c r="C104" s="28" t="str">
        <f t="shared" ref="C104:AG104" si="13">IF(C74="","",C74)</f>
        <v/>
      </c>
      <c r="D104" s="28" t="str">
        <f t="shared" si="13"/>
        <v/>
      </c>
      <c r="E104" s="28" t="str">
        <f t="shared" si="13"/>
        <v/>
      </c>
      <c r="F104" s="28" t="str">
        <f t="shared" si="13"/>
        <v/>
      </c>
      <c r="G104" s="28" t="str">
        <f t="shared" si="13"/>
        <v/>
      </c>
      <c r="H104" s="28" t="str">
        <f t="shared" si="13"/>
        <v/>
      </c>
      <c r="I104" s="28" t="str">
        <f t="shared" si="13"/>
        <v/>
      </c>
      <c r="J104" s="28" t="str">
        <f t="shared" si="13"/>
        <v/>
      </c>
      <c r="K104" s="28" t="str">
        <f t="shared" si="13"/>
        <v/>
      </c>
      <c r="L104" s="28" t="str">
        <f t="shared" si="13"/>
        <v/>
      </c>
      <c r="M104" s="28" t="str">
        <f t="shared" si="13"/>
        <v/>
      </c>
      <c r="N104" s="28" t="str">
        <f t="shared" si="13"/>
        <v/>
      </c>
      <c r="O104" s="28" t="str">
        <f t="shared" si="13"/>
        <v/>
      </c>
      <c r="P104" s="28" t="str">
        <f t="shared" si="13"/>
        <v/>
      </c>
      <c r="Q104" s="28" t="str">
        <f t="shared" si="13"/>
        <v/>
      </c>
      <c r="R104" s="28" t="str">
        <f t="shared" si="13"/>
        <v/>
      </c>
      <c r="S104" s="28" t="str">
        <f t="shared" si="13"/>
        <v/>
      </c>
      <c r="T104" s="28" t="str">
        <f t="shared" si="13"/>
        <v/>
      </c>
      <c r="U104" s="28" t="str">
        <f t="shared" si="13"/>
        <v/>
      </c>
      <c r="V104" s="28" t="str">
        <f t="shared" si="13"/>
        <v/>
      </c>
      <c r="W104" s="28" t="str">
        <f t="shared" si="13"/>
        <v/>
      </c>
      <c r="X104" s="28" t="str">
        <f t="shared" si="13"/>
        <v/>
      </c>
      <c r="Y104" s="28" t="str">
        <f t="shared" si="13"/>
        <v/>
      </c>
      <c r="Z104" s="28" t="str">
        <f t="shared" si="13"/>
        <v/>
      </c>
      <c r="AA104" s="28" t="str">
        <f t="shared" si="13"/>
        <v/>
      </c>
      <c r="AB104" s="28" t="str">
        <f t="shared" si="13"/>
        <v/>
      </c>
      <c r="AC104" s="28" t="str">
        <f t="shared" si="13"/>
        <v/>
      </c>
      <c r="AD104" s="28" t="str">
        <f t="shared" si="13"/>
        <v/>
      </c>
      <c r="AE104" s="28" t="str">
        <f t="shared" si="13"/>
        <v/>
      </c>
      <c r="AF104" s="28" t="str">
        <f t="shared" si="13"/>
        <v/>
      </c>
      <c r="AG104" s="28" t="str">
        <f t="shared" si="13"/>
        <v/>
      </c>
    </row>
    <row r="105" spans="1:33" ht="18.75" customHeight="1" x14ac:dyDescent="0.2">
      <c r="A105" s="20" t="s">
        <v>0</v>
      </c>
      <c r="B105" s="21" t="s">
        <v>2</v>
      </c>
      <c r="C105" s="98" t="str">
        <f>C75</f>
        <v>เดือน สิงหาคม</v>
      </c>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row>
    <row r="106" spans="1:33" ht="18" x14ac:dyDescent="0.2">
      <c r="A106" s="23" t="s">
        <v>1</v>
      </c>
      <c r="B106" s="24" t="s">
        <v>3</v>
      </c>
      <c r="C106" s="22">
        <f>C76</f>
        <v>1</v>
      </c>
      <c r="D106" s="22">
        <f t="shared" ref="D106:AG106" si="14">D76</f>
        <v>2</v>
      </c>
      <c r="E106" s="22">
        <f t="shared" si="14"/>
        <v>3</v>
      </c>
      <c r="F106" s="22">
        <f t="shared" si="14"/>
        <v>4</v>
      </c>
      <c r="G106" s="22">
        <f t="shared" si="14"/>
        <v>5</v>
      </c>
      <c r="H106" s="22">
        <f t="shared" si="14"/>
        <v>6</v>
      </c>
      <c r="I106" s="22">
        <f t="shared" si="14"/>
        <v>7</v>
      </c>
      <c r="J106" s="22">
        <f t="shared" si="14"/>
        <v>8</v>
      </c>
      <c r="K106" s="22">
        <f t="shared" si="14"/>
        <v>9</v>
      </c>
      <c r="L106" s="22">
        <f t="shared" si="14"/>
        <v>10</v>
      </c>
      <c r="M106" s="22">
        <f t="shared" si="14"/>
        <v>11</v>
      </c>
      <c r="N106" s="22">
        <f t="shared" si="14"/>
        <v>12</v>
      </c>
      <c r="O106" s="22">
        <f t="shared" si="14"/>
        <v>13</v>
      </c>
      <c r="P106" s="22">
        <f t="shared" si="14"/>
        <v>14</v>
      </c>
      <c r="Q106" s="22">
        <f t="shared" si="14"/>
        <v>15</v>
      </c>
      <c r="R106" s="22">
        <f t="shared" si="14"/>
        <v>16</v>
      </c>
      <c r="S106" s="22">
        <f t="shared" si="14"/>
        <v>17</v>
      </c>
      <c r="T106" s="22">
        <f t="shared" si="14"/>
        <v>18</v>
      </c>
      <c r="U106" s="22">
        <f t="shared" si="14"/>
        <v>19</v>
      </c>
      <c r="V106" s="22">
        <f t="shared" si="14"/>
        <v>20</v>
      </c>
      <c r="W106" s="22">
        <f t="shared" si="14"/>
        <v>21</v>
      </c>
      <c r="X106" s="22">
        <f t="shared" si="14"/>
        <v>22</v>
      </c>
      <c r="Y106" s="22">
        <f t="shared" si="14"/>
        <v>23</v>
      </c>
      <c r="Z106" s="22">
        <f t="shared" si="14"/>
        <v>24</v>
      </c>
      <c r="AA106" s="22">
        <f t="shared" si="14"/>
        <v>25</v>
      </c>
      <c r="AB106" s="22">
        <f t="shared" si="14"/>
        <v>26</v>
      </c>
      <c r="AC106" s="22">
        <f t="shared" si="14"/>
        <v>27</v>
      </c>
      <c r="AD106" s="22">
        <f t="shared" si="14"/>
        <v>28</v>
      </c>
      <c r="AE106" s="22">
        <f t="shared" si="14"/>
        <v>29</v>
      </c>
      <c r="AF106" s="22">
        <f t="shared" si="14"/>
        <v>30</v>
      </c>
      <c r="AG106" s="22">
        <f t="shared" si="14"/>
        <v>0</v>
      </c>
    </row>
    <row r="107" spans="1:33" ht="18" x14ac:dyDescent="0.2">
      <c r="A107" s="25"/>
      <c r="B107" s="26" t="s">
        <v>4</v>
      </c>
      <c r="C107" s="22">
        <f>_xlfn.IFNA(IF(OR(C106="",C106=0),"",(VLOOKUP($B107,'น้ำยา-เครื่อง'!$A$14:$AF$23,C106+1,FALSE))),"")</f>
        <v>0</v>
      </c>
      <c r="D107" s="22">
        <f>_xlfn.IFNA(IF(OR(D106="",D106=0),"",(VLOOKUP($B107,'น้ำยา-เครื่อง'!$A$14:$AF$23,D106+1,FALSE))),"")</f>
        <v>0</v>
      </c>
      <c r="E107" s="22">
        <f>_xlfn.IFNA(IF(OR(E106="",E106=0),"",(VLOOKUP($B107,'น้ำยา-เครื่อง'!$A$14:$AF$23,E106+1,FALSE))),"")</f>
        <v>2</v>
      </c>
      <c r="F107" s="22">
        <f>_xlfn.IFNA(IF(OR(F106="",F106=0),"",(VLOOKUP($B107,'น้ำยา-เครื่อง'!$A$14:$AF$23,F106+1,FALSE))),"")</f>
        <v>2</v>
      </c>
      <c r="G107" s="22">
        <f>_xlfn.IFNA(IF(OR(G106="",G106=0),"",(VLOOKUP($B107,'น้ำยา-เครื่อง'!$A$14:$AF$23,G106+1,FALSE))),"")</f>
        <v>2</v>
      </c>
      <c r="H107" s="22">
        <f>_xlfn.IFNA(IF(OR(H106="",H106=0),"",(VLOOKUP($B107,'น้ำยา-เครื่อง'!$A$14:$AF$23,H106+1,FALSE))),"")</f>
        <v>2</v>
      </c>
      <c r="I107" s="22">
        <f>_xlfn.IFNA(IF(OR(I106="",I106=0),"",(VLOOKUP($B107,'น้ำยา-เครื่อง'!$A$14:$AF$23,I106+1,FALSE))),"")</f>
        <v>2</v>
      </c>
      <c r="J107" s="22">
        <f>_xlfn.IFNA(IF(OR(J106="",J106=0),"",(VLOOKUP($B107,'น้ำยา-เครื่อง'!$A$14:$AF$23,J106+1,FALSE))),"")</f>
        <v>0</v>
      </c>
      <c r="K107" s="22">
        <f>_xlfn.IFNA(IF(OR(K106="",K106=0),"",(VLOOKUP($B107,'น้ำยา-เครื่อง'!$A$14:$AF$23,K106+1,FALSE))),"")</f>
        <v>0</v>
      </c>
      <c r="L107" s="22">
        <f>_xlfn.IFNA(IF(OR(L106="",L106=0),"",(VLOOKUP($B107,'น้ำยา-เครื่อง'!$A$14:$AF$23,L106+1,FALSE))),"")</f>
        <v>1</v>
      </c>
      <c r="M107" s="22">
        <f>_xlfn.IFNA(IF(OR(M106="",M106=0),"",(VLOOKUP($B107,'น้ำยา-เครื่อง'!$A$14:$AF$23,M106+1,FALSE))),"")</f>
        <v>1</v>
      </c>
      <c r="N107" s="22">
        <f>_xlfn.IFNA(IF(OR(N106="",N106=0),"",(VLOOKUP($B107,'น้ำยา-เครื่อง'!$A$14:$AF$23,N106+1,FALSE))),"")</f>
        <v>1</v>
      </c>
      <c r="O107" s="22">
        <f>_xlfn.IFNA(IF(OR(O106="",O106=0),"",(VLOOKUP($B107,'น้ำยา-เครื่อง'!$A$14:$AF$23,O106+1,FALSE))),"")</f>
        <v>1</v>
      </c>
      <c r="P107" s="22">
        <f>_xlfn.IFNA(IF(OR(P106="",P106=0),"",(VLOOKUP($B107,'น้ำยา-เครื่อง'!$A$14:$AF$23,P106+1,FALSE))),"")</f>
        <v>1</v>
      </c>
      <c r="Q107" s="22">
        <f>_xlfn.IFNA(IF(OR(Q106="",Q106=0),"",(VLOOKUP($B107,'น้ำยา-เครื่อง'!$A$14:$AF$23,Q106+1,FALSE))),"")</f>
        <v>0</v>
      </c>
      <c r="R107" s="22">
        <f>_xlfn.IFNA(IF(OR(R106="",R106=0),"",(VLOOKUP($B107,'น้ำยา-เครื่อง'!$A$14:$AF$23,R106+1,FALSE))),"")</f>
        <v>0</v>
      </c>
      <c r="S107" s="22">
        <f>_xlfn.IFNA(IF(OR(S106="",S106=0),"",(VLOOKUP($B107,'น้ำยา-เครื่อง'!$A$14:$AF$23,S106+1,FALSE))),"")</f>
        <v>2</v>
      </c>
      <c r="T107" s="22">
        <f>_xlfn.IFNA(IF(OR(T106="",T106=0),"",(VLOOKUP($B107,'น้ำยา-เครื่อง'!$A$14:$AF$23,T106+1,FALSE))),"")</f>
        <v>2</v>
      </c>
      <c r="U107" s="22">
        <f>_xlfn.IFNA(IF(OR(U106="",U106=0),"",(VLOOKUP($B107,'น้ำยา-เครื่อง'!$A$14:$AF$23,U106+1,FALSE))),"")</f>
        <v>2</v>
      </c>
      <c r="V107" s="22">
        <f>_xlfn.IFNA(IF(OR(V106="",V106=0),"",(VLOOKUP($B107,'น้ำยา-เครื่อง'!$A$14:$AF$23,V106+1,FALSE))),"")</f>
        <v>2</v>
      </c>
      <c r="W107" s="22">
        <f>_xlfn.IFNA(IF(OR(W106="",W106=0),"",(VLOOKUP($B107,'น้ำยา-เครื่อง'!$A$14:$AF$23,W106+1,FALSE))),"")</f>
        <v>2</v>
      </c>
      <c r="X107" s="22">
        <f>_xlfn.IFNA(IF(OR(X106="",X106=0),"",(VLOOKUP($B107,'น้ำยา-เครื่อง'!$A$14:$AF$23,X106+1,FALSE))),"")</f>
        <v>0</v>
      </c>
      <c r="Y107" s="22">
        <f>_xlfn.IFNA(IF(OR(Y106="",Y106=0),"",(VLOOKUP($B107,'น้ำยา-เครื่อง'!$A$14:$AF$23,Y106+1,FALSE))),"")</f>
        <v>0</v>
      </c>
      <c r="Z107" s="22">
        <f>_xlfn.IFNA(IF(OR(Z106="",Z106=0),"",(VLOOKUP($B107,'น้ำยา-เครื่อง'!$A$14:$AF$23,Z106+1,FALSE))),"")</f>
        <v>1</v>
      </c>
      <c r="AA107" s="22">
        <f>_xlfn.IFNA(IF(OR(AA106="",AA106=0),"",(VLOOKUP($B107,'น้ำยา-เครื่อง'!$A$14:$AF$23,AA106+1,FALSE))),"")</f>
        <v>1</v>
      </c>
      <c r="AB107" s="22">
        <f>_xlfn.IFNA(IF(OR(AB106="",AB106=0),"",(VLOOKUP($B107,'น้ำยา-เครื่อง'!$A$14:$AF$23,AB106+1,FALSE))),"")</f>
        <v>1</v>
      </c>
      <c r="AC107" s="22">
        <f>_xlfn.IFNA(IF(OR(AC106="",AC106=0),"",(VLOOKUP($B107,'น้ำยา-เครื่อง'!$A$14:$AF$23,AC106+1,FALSE))),"")</f>
        <v>1</v>
      </c>
      <c r="AD107" s="22">
        <f>_xlfn.IFNA(IF(OR(AD106="",AD106=0),"",(VLOOKUP($B107,'น้ำยา-เครื่อง'!$A$14:$AF$23,AD106+1,FALSE))),"")</f>
        <v>1</v>
      </c>
      <c r="AE107" s="22">
        <f>_xlfn.IFNA(IF(OR(AE106="",AE106=0),"",(VLOOKUP($B107,'น้ำยา-เครื่อง'!$A$14:$AF$23,AE106+1,FALSE))),"")</f>
        <v>0</v>
      </c>
      <c r="AF107" s="22">
        <f>_xlfn.IFNA(IF(OR(AF106="",AF106=0),"",(VLOOKUP($B107,'น้ำยา-เครื่อง'!$A$14:$AF$23,AF106+1,FALSE))),"")</f>
        <v>0</v>
      </c>
      <c r="AG107" s="22" t="str">
        <f>_xlfn.IFNA(IF(OR(AG106="",AG106=0),"",(VLOOKUP($B107,'น้ำยา-เครื่อง'!$A$14:$AF$23,AG106+1,FALSE))),"")</f>
        <v/>
      </c>
    </row>
    <row r="108" spans="1:33" ht="18.75" customHeight="1" x14ac:dyDescent="0.2">
      <c r="A108" s="70" t="s">
        <v>212</v>
      </c>
      <c r="B108" s="27" t="s">
        <v>5</v>
      </c>
      <c r="C108" s="28" t="str">
        <f>IF(C78="","",C78)</f>
        <v/>
      </c>
      <c r="D108" s="28" t="str">
        <f t="shared" ref="D108:AG108" si="15">IF(D78="","",D78)</f>
        <v/>
      </c>
      <c r="E108" s="28" t="str">
        <f t="shared" si="15"/>
        <v/>
      </c>
      <c r="F108" s="28" t="str">
        <f t="shared" si="15"/>
        <v>O</v>
      </c>
      <c r="G108" s="28" t="str">
        <f t="shared" si="15"/>
        <v>O</v>
      </c>
      <c r="H108" s="28" t="str">
        <f t="shared" si="15"/>
        <v>O</v>
      </c>
      <c r="I108" s="28" t="str">
        <f t="shared" si="15"/>
        <v/>
      </c>
      <c r="J108" s="28" t="str">
        <f t="shared" si="15"/>
        <v/>
      </c>
      <c r="K108" s="28" t="str">
        <f t="shared" si="15"/>
        <v/>
      </c>
      <c r="L108" s="28" t="str">
        <f t="shared" si="15"/>
        <v/>
      </c>
      <c r="M108" s="28" t="str">
        <f t="shared" si="15"/>
        <v/>
      </c>
      <c r="N108" s="28" t="str">
        <f t="shared" si="15"/>
        <v/>
      </c>
      <c r="O108" s="28" t="str">
        <f t="shared" si="15"/>
        <v>O</v>
      </c>
      <c r="P108" s="28" t="str">
        <f t="shared" si="15"/>
        <v>O</v>
      </c>
      <c r="Q108" s="28" t="str">
        <f t="shared" si="15"/>
        <v/>
      </c>
      <c r="R108" s="28" t="str">
        <f t="shared" si="15"/>
        <v/>
      </c>
      <c r="S108" s="28" t="str">
        <f t="shared" si="15"/>
        <v/>
      </c>
      <c r="T108" s="28" t="str">
        <f t="shared" si="15"/>
        <v>O</v>
      </c>
      <c r="U108" s="28" t="str">
        <f t="shared" si="15"/>
        <v>O</v>
      </c>
      <c r="V108" s="28" t="str">
        <f t="shared" si="15"/>
        <v>O</v>
      </c>
      <c r="W108" s="28" t="str">
        <f t="shared" si="15"/>
        <v/>
      </c>
      <c r="X108" s="28" t="str">
        <f t="shared" si="15"/>
        <v/>
      </c>
      <c r="Y108" s="28" t="str">
        <f t="shared" si="15"/>
        <v/>
      </c>
      <c r="Z108" s="28" t="str">
        <f t="shared" si="15"/>
        <v/>
      </c>
      <c r="AA108" s="28" t="str">
        <f t="shared" si="15"/>
        <v>O</v>
      </c>
      <c r="AB108" s="28" t="str">
        <f t="shared" si="15"/>
        <v>O</v>
      </c>
      <c r="AC108" s="28" t="str">
        <f t="shared" si="15"/>
        <v/>
      </c>
      <c r="AD108" s="28" t="str">
        <f t="shared" si="15"/>
        <v/>
      </c>
      <c r="AE108" s="28" t="str">
        <f t="shared" si="15"/>
        <v/>
      </c>
      <c r="AF108" s="28" t="str">
        <f t="shared" si="15"/>
        <v/>
      </c>
      <c r="AG108" s="28" t="str">
        <f t="shared" si="15"/>
        <v/>
      </c>
    </row>
    <row r="109" spans="1:33" ht="18" x14ac:dyDescent="0.2">
      <c r="A109" s="70"/>
      <c r="B109" s="27" t="s">
        <v>6</v>
      </c>
      <c r="C109" s="28" t="str">
        <f t="shared" ref="C109:AG109" si="16">IF(C79="","",C79)</f>
        <v/>
      </c>
      <c r="D109" s="28" t="str">
        <f t="shared" si="16"/>
        <v/>
      </c>
      <c r="E109" s="28" t="str">
        <f t="shared" si="16"/>
        <v/>
      </c>
      <c r="F109" s="28" t="str">
        <f t="shared" si="16"/>
        <v/>
      </c>
      <c r="G109" s="28" t="str">
        <f t="shared" si="16"/>
        <v/>
      </c>
      <c r="H109" s="28" t="str">
        <f t="shared" si="16"/>
        <v/>
      </c>
      <c r="I109" s="28" t="str">
        <f t="shared" si="16"/>
        <v/>
      </c>
      <c r="J109" s="28" t="str">
        <f t="shared" si="16"/>
        <v/>
      </c>
      <c r="K109" s="28" t="str">
        <f t="shared" si="16"/>
        <v/>
      </c>
      <c r="L109" s="28" t="str">
        <f t="shared" si="16"/>
        <v/>
      </c>
      <c r="M109" s="28" t="str">
        <f t="shared" si="16"/>
        <v/>
      </c>
      <c r="N109" s="28" t="str">
        <f t="shared" si="16"/>
        <v/>
      </c>
      <c r="O109" s="28" t="str">
        <f t="shared" si="16"/>
        <v/>
      </c>
      <c r="P109" s="28" t="str">
        <f t="shared" si="16"/>
        <v/>
      </c>
      <c r="Q109" s="28" t="str">
        <f t="shared" si="16"/>
        <v/>
      </c>
      <c r="R109" s="28" t="str">
        <f t="shared" si="16"/>
        <v/>
      </c>
      <c r="S109" s="28" t="str">
        <f t="shared" si="16"/>
        <v/>
      </c>
      <c r="T109" s="28" t="str">
        <f t="shared" si="16"/>
        <v/>
      </c>
      <c r="U109" s="28" t="str">
        <f t="shared" si="16"/>
        <v/>
      </c>
      <c r="V109" s="28" t="str">
        <f t="shared" si="16"/>
        <v/>
      </c>
      <c r="W109" s="28" t="str">
        <f t="shared" si="16"/>
        <v/>
      </c>
      <c r="X109" s="28" t="str">
        <f t="shared" si="16"/>
        <v/>
      </c>
      <c r="Y109" s="28" t="str">
        <f t="shared" si="16"/>
        <v/>
      </c>
      <c r="Z109" s="28" t="str">
        <f t="shared" si="16"/>
        <v/>
      </c>
      <c r="AA109" s="28" t="str">
        <f t="shared" si="16"/>
        <v/>
      </c>
      <c r="AB109" s="28" t="str">
        <f t="shared" si="16"/>
        <v/>
      </c>
      <c r="AC109" s="28" t="str">
        <f t="shared" si="16"/>
        <v/>
      </c>
      <c r="AD109" s="28" t="str">
        <f t="shared" si="16"/>
        <v/>
      </c>
      <c r="AE109" s="28" t="str">
        <f t="shared" si="16"/>
        <v/>
      </c>
      <c r="AF109" s="28" t="str">
        <f t="shared" si="16"/>
        <v/>
      </c>
      <c r="AG109" s="28" t="str">
        <f t="shared" si="16"/>
        <v/>
      </c>
    </row>
    <row r="110" spans="1:33" ht="18" x14ac:dyDescent="0.2">
      <c r="A110" s="70"/>
      <c r="B110" s="27"/>
      <c r="C110" s="28" t="str">
        <f t="shared" ref="C110:AG110" si="17">IF(C80="","",C80)</f>
        <v/>
      </c>
      <c r="D110" s="28" t="str">
        <f t="shared" si="17"/>
        <v/>
      </c>
      <c r="E110" s="28" t="str">
        <f t="shared" si="17"/>
        <v/>
      </c>
      <c r="F110" s="28" t="str">
        <f t="shared" si="17"/>
        <v/>
      </c>
      <c r="G110" s="28" t="str">
        <f t="shared" si="17"/>
        <v/>
      </c>
      <c r="H110" s="28" t="str">
        <f t="shared" si="17"/>
        <v/>
      </c>
      <c r="I110" s="28" t="str">
        <f t="shared" si="17"/>
        <v/>
      </c>
      <c r="J110" s="28" t="str">
        <f t="shared" si="17"/>
        <v/>
      </c>
      <c r="K110" s="28" t="str">
        <f t="shared" si="17"/>
        <v/>
      </c>
      <c r="L110" s="28" t="str">
        <f t="shared" si="17"/>
        <v/>
      </c>
      <c r="M110" s="28" t="str">
        <f t="shared" si="17"/>
        <v/>
      </c>
      <c r="N110" s="28" t="str">
        <f t="shared" si="17"/>
        <v/>
      </c>
      <c r="O110" s="28" t="str">
        <f t="shared" si="17"/>
        <v/>
      </c>
      <c r="P110" s="28" t="str">
        <f t="shared" si="17"/>
        <v/>
      </c>
      <c r="Q110" s="28" t="str">
        <f t="shared" si="17"/>
        <v/>
      </c>
      <c r="R110" s="28" t="str">
        <f t="shared" si="17"/>
        <v/>
      </c>
      <c r="S110" s="28" t="str">
        <f t="shared" si="17"/>
        <v/>
      </c>
      <c r="T110" s="28" t="str">
        <f t="shared" si="17"/>
        <v/>
      </c>
      <c r="U110" s="28" t="str">
        <f t="shared" si="17"/>
        <v/>
      </c>
      <c r="V110" s="28" t="str">
        <f t="shared" si="17"/>
        <v/>
      </c>
      <c r="W110" s="28" t="str">
        <f t="shared" si="17"/>
        <v/>
      </c>
      <c r="X110" s="28" t="str">
        <f t="shared" si="17"/>
        <v/>
      </c>
      <c r="Y110" s="28" t="str">
        <f t="shared" si="17"/>
        <v/>
      </c>
      <c r="Z110" s="28" t="str">
        <f t="shared" si="17"/>
        <v/>
      </c>
      <c r="AA110" s="28" t="str">
        <f t="shared" si="17"/>
        <v/>
      </c>
      <c r="AB110" s="28" t="str">
        <f t="shared" si="17"/>
        <v/>
      </c>
      <c r="AC110" s="28" t="str">
        <f t="shared" si="17"/>
        <v/>
      </c>
      <c r="AD110" s="28" t="str">
        <f t="shared" si="17"/>
        <v/>
      </c>
      <c r="AE110" s="28" t="str">
        <f t="shared" si="17"/>
        <v/>
      </c>
      <c r="AF110" s="28" t="str">
        <f t="shared" si="17"/>
        <v/>
      </c>
      <c r="AG110" s="28" t="str">
        <f t="shared" si="17"/>
        <v/>
      </c>
    </row>
    <row r="111" spans="1:33" ht="18" customHeight="1" x14ac:dyDescent="0.2">
      <c r="A111" s="70" t="s">
        <v>226</v>
      </c>
      <c r="B111" s="27" t="s">
        <v>5</v>
      </c>
      <c r="C111" s="28" t="str">
        <f t="shared" ref="C111:AG111" si="18">IF(C81="","",C81)</f>
        <v/>
      </c>
      <c r="D111" s="28" t="str">
        <f t="shared" si="18"/>
        <v/>
      </c>
      <c r="E111" s="28" t="str">
        <f t="shared" si="18"/>
        <v>O</v>
      </c>
      <c r="F111" s="28" t="str">
        <f t="shared" si="18"/>
        <v/>
      </c>
      <c r="G111" s="28" t="str">
        <f t="shared" si="18"/>
        <v/>
      </c>
      <c r="H111" s="28" t="str">
        <f t="shared" si="18"/>
        <v/>
      </c>
      <c r="I111" s="28" t="str">
        <f t="shared" si="18"/>
        <v/>
      </c>
      <c r="J111" s="28" t="str">
        <f t="shared" si="18"/>
        <v/>
      </c>
      <c r="K111" s="28" t="str">
        <f t="shared" si="18"/>
        <v/>
      </c>
      <c r="L111" s="28" t="str">
        <f t="shared" si="18"/>
        <v/>
      </c>
      <c r="M111" s="28" t="str">
        <f t="shared" si="18"/>
        <v/>
      </c>
      <c r="N111" s="28" t="str">
        <f t="shared" si="18"/>
        <v>O</v>
      </c>
      <c r="O111" s="28" t="str">
        <f t="shared" si="18"/>
        <v/>
      </c>
      <c r="P111" s="28" t="str">
        <f t="shared" si="18"/>
        <v/>
      </c>
      <c r="Q111" s="28" t="str">
        <f t="shared" si="18"/>
        <v/>
      </c>
      <c r="R111" s="28" t="str">
        <f t="shared" si="18"/>
        <v/>
      </c>
      <c r="S111" s="28" t="str">
        <f t="shared" si="18"/>
        <v>O</v>
      </c>
      <c r="T111" s="28" t="str">
        <f t="shared" si="18"/>
        <v/>
      </c>
      <c r="U111" s="28" t="str">
        <f t="shared" si="18"/>
        <v/>
      </c>
      <c r="V111" s="28" t="str">
        <f t="shared" si="18"/>
        <v/>
      </c>
      <c r="W111" s="28" t="str">
        <f t="shared" si="18"/>
        <v/>
      </c>
      <c r="X111" s="28" t="str">
        <f t="shared" si="18"/>
        <v/>
      </c>
      <c r="Y111" s="28" t="str">
        <f t="shared" si="18"/>
        <v/>
      </c>
      <c r="Z111" s="28" t="str">
        <f t="shared" si="18"/>
        <v>O</v>
      </c>
      <c r="AA111" s="28" t="str">
        <f t="shared" si="18"/>
        <v/>
      </c>
      <c r="AB111" s="28" t="str">
        <f t="shared" si="18"/>
        <v/>
      </c>
      <c r="AC111" s="28" t="str">
        <f t="shared" si="18"/>
        <v/>
      </c>
      <c r="AD111" s="28" t="str">
        <f t="shared" si="18"/>
        <v/>
      </c>
      <c r="AE111" s="28" t="str">
        <f t="shared" si="18"/>
        <v/>
      </c>
      <c r="AF111" s="28" t="str">
        <f t="shared" si="18"/>
        <v/>
      </c>
      <c r="AG111" s="28" t="str">
        <f t="shared" si="18"/>
        <v/>
      </c>
    </row>
    <row r="112" spans="1:33" ht="18" x14ac:dyDescent="0.2">
      <c r="A112" s="70"/>
      <c r="B112" s="27" t="s">
        <v>6</v>
      </c>
      <c r="C112" s="28" t="str">
        <f t="shared" ref="C112:AG112" si="19">IF(C82="","",C82)</f>
        <v/>
      </c>
      <c r="D112" s="28" t="str">
        <f t="shared" si="19"/>
        <v/>
      </c>
      <c r="E112" s="28" t="str">
        <f t="shared" si="19"/>
        <v/>
      </c>
      <c r="F112" s="28" t="str">
        <f t="shared" si="19"/>
        <v/>
      </c>
      <c r="G112" s="28" t="str">
        <f t="shared" si="19"/>
        <v/>
      </c>
      <c r="H112" s="28" t="str">
        <f t="shared" si="19"/>
        <v/>
      </c>
      <c r="I112" s="28" t="str">
        <f t="shared" si="19"/>
        <v/>
      </c>
      <c r="J112" s="28" t="str">
        <f t="shared" si="19"/>
        <v/>
      </c>
      <c r="K112" s="28" t="str">
        <f t="shared" si="19"/>
        <v/>
      </c>
      <c r="L112" s="28" t="str">
        <f t="shared" si="19"/>
        <v/>
      </c>
      <c r="M112" s="28" t="str">
        <f t="shared" si="19"/>
        <v/>
      </c>
      <c r="N112" s="28" t="str">
        <f t="shared" si="19"/>
        <v/>
      </c>
      <c r="O112" s="28" t="str">
        <f t="shared" si="19"/>
        <v/>
      </c>
      <c r="P112" s="28" t="str">
        <f t="shared" si="19"/>
        <v/>
      </c>
      <c r="Q112" s="28" t="str">
        <f t="shared" si="19"/>
        <v/>
      </c>
      <c r="R112" s="28" t="str">
        <f t="shared" si="19"/>
        <v/>
      </c>
      <c r="S112" s="28" t="str">
        <f t="shared" si="19"/>
        <v/>
      </c>
      <c r="T112" s="28" t="str">
        <f t="shared" si="19"/>
        <v/>
      </c>
      <c r="U112" s="28" t="str">
        <f t="shared" si="19"/>
        <v/>
      </c>
      <c r="V112" s="28" t="str">
        <f t="shared" si="19"/>
        <v/>
      </c>
      <c r="W112" s="28" t="str">
        <f t="shared" si="19"/>
        <v/>
      </c>
      <c r="X112" s="28" t="str">
        <f t="shared" si="19"/>
        <v/>
      </c>
      <c r="Y112" s="28" t="str">
        <f t="shared" si="19"/>
        <v/>
      </c>
      <c r="Z112" s="28" t="str">
        <f t="shared" si="19"/>
        <v/>
      </c>
      <c r="AA112" s="28" t="str">
        <f t="shared" si="19"/>
        <v/>
      </c>
      <c r="AB112" s="28" t="str">
        <f t="shared" si="19"/>
        <v/>
      </c>
      <c r="AC112" s="28" t="str">
        <f t="shared" si="19"/>
        <v/>
      </c>
      <c r="AD112" s="28" t="str">
        <f t="shared" si="19"/>
        <v/>
      </c>
      <c r="AE112" s="28" t="str">
        <f t="shared" si="19"/>
        <v/>
      </c>
      <c r="AF112" s="28" t="str">
        <f t="shared" si="19"/>
        <v/>
      </c>
      <c r="AG112" s="28" t="str">
        <f t="shared" si="19"/>
        <v/>
      </c>
    </row>
    <row r="113" spans="1:33" ht="18" x14ac:dyDescent="0.2">
      <c r="A113" s="70"/>
      <c r="B113" s="27"/>
      <c r="C113" s="28" t="str">
        <f t="shared" ref="C113:AG113" si="20">IF(C83="","",C83)</f>
        <v/>
      </c>
      <c r="D113" s="28" t="str">
        <f t="shared" si="20"/>
        <v/>
      </c>
      <c r="E113" s="28" t="str">
        <f t="shared" si="20"/>
        <v/>
      </c>
      <c r="F113" s="28" t="str">
        <f t="shared" si="20"/>
        <v/>
      </c>
      <c r="G113" s="28" t="str">
        <f t="shared" si="20"/>
        <v/>
      </c>
      <c r="H113" s="28" t="str">
        <f t="shared" si="20"/>
        <v/>
      </c>
      <c r="I113" s="28" t="str">
        <f t="shared" si="20"/>
        <v/>
      </c>
      <c r="J113" s="28" t="str">
        <f t="shared" si="20"/>
        <v/>
      </c>
      <c r="K113" s="28" t="str">
        <f t="shared" si="20"/>
        <v/>
      </c>
      <c r="L113" s="28" t="str">
        <f t="shared" si="20"/>
        <v/>
      </c>
      <c r="M113" s="28" t="str">
        <f t="shared" si="20"/>
        <v/>
      </c>
      <c r="N113" s="28" t="str">
        <f t="shared" si="20"/>
        <v/>
      </c>
      <c r="O113" s="28" t="str">
        <f t="shared" si="20"/>
        <v/>
      </c>
      <c r="P113" s="28" t="str">
        <f t="shared" si="20"/>
        <v/>
      </c>
      <c r="Q113" s="28" t="str">
        <f t="shared" si="20"/>
        <v/>
      </c>
      <c r="R113" s="28" t="str">
        <f t="shared" si="20"/>
        <v/>
      </c>
      <c r="S113" s="28" t="str">
        <f t="shared" si="20"/>
        <v/>
      </c>
      <c r="T113" s="28" t="str">
        <f t="shared" si="20"/>
        <v/>
      </c>
      <c r="U113" s="28" t="str">
        <f t="shared" si="20"/>
        <v/>
      </c>
      <c r="V113" s="28" t="str">
        <f t="shared" si="20"/>
        <v/>
      </c>
      <c r="W113" s="28" t="str">
        <f t="shared" si="20"/>
        <v/>
      </c>
      <c r="X113" s="28" t="str">
        <f t="shared" si="20"/>
        <v/>
      </c>
      <c r="Y113" s="28" t="str">
        <f t="shared" si="20"/>
        <v/>
      </c>
      <c r="Z113" s="28" t="str">
        <f t="shared" si="20"/>
        <v/>
      </c>
      <c r="AA113" s="28" t="str">
        <f t="shared" si="20"/>
        <v/>
      </c>
      <c r="AB113" s="28" t="str">
        <f t="shared" si="20"/>
        <v/>
      </c>
      <c r="AC113" s="28" t="str">
        <f t="shared" si="20"/>
        <v/>
      </c>
      <c r="AD113" s="28" t="str">
        <f t="shared" si="20"/>
        <v/>
      </c>
      <c r="AE113" s="28" t="str">
        <f t="shared" si="20"/>
        <v/>
      </c>
      <c r="AF113" s="28" t="str">
        <f t="shared" si="20"/>
        <v/>
      </c>
      <c r="AG113" s="28" t="str">
        <f t="shared" si="20"/>
        <v/>
      </c>
    </row>
    <row r="114" spans="1:33" ht="18" customHeight="1" x14ac:dyDescent="0.2">
      <c r="A114" s="70"/>
      <c r="B114" s="27" t="s">
        <v>5</v>
      </c>
      <c r="C114" s="28" t="str">
        <f t="shared" ref="C114:AG114" si="21">IF(C84="","",C84)</f>
        <v/>
      </c>
      <c r="D114" s="28" t="str">
        <f t="shared" si="21"/>
        <v/>
      </c>
      <c r="E114" s="28" t="str">
        <f t="shared" si="21"/>
        <v/>
      </c>
      <c r="F114" s="28" t="str">
        <f t="shared" si="21"/>
        <v/>
      </c>
      <c r="G114" s="28" t="str">
        <f t="shared" si="21"/>
        <v/>
      </c>
      <c r="H114" s="28" t="str">
        <f t="shared" si="21"/>
        <v/>
      </c>
      <c r="I114" s="28" t="str">
        <f t="shared" si="21"/>
        <v/>
      </c>
      <c r="J114" s="28" t="str">
        <f t="shared" si="21"/>
        <v/>
      </c>
      <c r="K114" s="28" t="str">
        <f t="shared" si="21"/>
        <v/>
      </c>
      <c r="L114" s="28" t="str">
        <f t="shared" si="21"/>
        <v/>
      </c>
      <c r="M114" s="28" t="str">
        <f t="shared" si="21"/>
        <v/>
      </c>
      <c r="N114" s="28" t="str">
        <f t="shared" si="21"/>
        <v/>
      </c>
      <c r="O114" s="28" t="str">
        <f t="shared" si="21"/>
        <v/>
      </c>
      <c r="P114" s="28" t="str">
        <f t="shared" si="21"/>
        <v/>
      </c>
      <c r="Q114" s="28" t="str">
        <f t="shared" si="21"/>
        <v/>
      </c>
      <c r="R114" s="28" t="str">
        <f t="shared" si="21"/>
        <v/>
      </c>
      <c r="S114" s="28" t="str">
        <f t="shared" si="21"/>
        <v/>
      </c>
      <c r="T114" s="28" t="str">
        <f t="shared" si="21"/>
        <v/>
      </c>
      <c r="U114" s="28" t="str">
        <f t="shared" si="21"/>
        <v/>
      </c>
      <c r="V114" s="28" t="str">
        <f t="shared" si="21"/>
        <v/>
      </c>
      <c r="W114" s="28" t="str">
        <f t="shared" si="21"/>
        <v/>
      </c>
      <c r="X114" s="28" t="str">
        <f t="shared" si="21"/>
        <v/>
      </c>
      <c r="Y114" s="28" t="str">
        <f t="shared" si="21"/>
        <v/>
      </c>
      <c r="Z114" s="28" t="str">
        <f t="shared" si="21"/>
        <v/>
      </c>
      <c r="AA114" s="28" t="str">
        <f t="shared" si="21"/>
        <v/>
      </c>
      <c r="AB114" s="28" t="str">
        <f t="shared" si="21"/>
        <v/>
      </c>
      <c r="AC114" s="28" t="str">
        <f t="shared" si="21"/>
        <v/>
      </c>
      <c r="AD114" s="28" t="str">
        <f t="shared" si="21"/>
        <v/>
      </c>
      <c r="AE114" s="28" t="str">
        <f t="shared" si="21"/>
        <v/>
      </c>
      <c r="AF114" s="28" t="str">
        <f t="shared" si="21"/>
        <v/>
      </c>
      <c r="AG114" s="28" t="str">
        <f t="shared" si="21"/>
        <v/>
      </c>
    </row>
    <row r="115" spans="1:33" ht="18" x14ac:dyDescent="0.2">
      <c r="A115" s="70"/>
      <c r="B115" s="27" t="s">
        <v>6</v>
      </c>
      <c r="C115" s="28" t="str">
        <f t="shared" ref="C115:AG115" si="22">IF(C85="","",C85)</f>
        <v/>
      </c>
      <c r="D115" s="28" t="str">
        <f t="shared" si="22"/>
        <v/>
      </c>
      <c r="E115" s="28" t="str">
        <f t="shared" si="22"/>
        <v/>
      </c>
      <c r="F115" s="28" t="str">
        <f t="shared" si="22"/>
        <v/>
      </c>
      <c r="G115" s="28" t="str">
        <f t="shared" si="22"/>
        <v/>
      </c>
      <c r="H115" s="28" t="str">
        <f t="shared" si="22"/>
        <v/>
      </c>
      <c r="I115" s="28" t="str">
        <f t="shared" si="22"/>
        <v/>
      </c>
      <c r="J115" s="28" t="str">
        <f t="shared" si="22"/>
        <v/>
      </c>
      <c r="K115" s="28" t="str">
        <f t="shared" si="22"/>
        <v/>
      </c>
      <c r="L115" s="28" t="str">
        <f t="shared" si="22"/>
        <v/>
      </c>
      <c r="M115" s="28" t="str">
        <f t="shared" si="22"/>
        <v/>
      </c>
      <c r="N115" s="28" t="str">
        <f t="shared" si="22"/>
        <v/>
      </c>
      <c r="O115" s="28" t="str">
        <f t="shared" si="22"/>
        <v/>
      </c>
      <c r="P115" s="28" t="str">
        <f t="shared" si="22"/>
        <v/>
      </c>
      <c r="Q115" s="28" t="str">
        <f t="shared" si="22"/>
        <v/>
      </c>
      <c r="R115" s="28" t="str">
        <f t="shared" si="22"/>
        <v/>
      </c>
      <c r="S115" s="28" t="str">
        <f t="shared" si="22"/>
        <v/>
      </c>
      <c r="T115" s="28" t="str">
        <f t="shared" si="22"/>
        <v/>
      </c>
      <c r="U115" s="28" t="str">
        <f t="shared" si="22"/>
        <v/>
      </c>
      <c r="V115" s="28" t="str">
        <f t="shared" si="22"/>
        <v/>
      </c>
      <c r="W115" s="28" t="str">
        <f t="shared" si="22"/>
        <v/>
      </c>
      <c r="X115" s="28" t="str">
        <f t="shared" si="22"/>
        <v/>
      </c>
      <c r="Y115" s="28" t="str">
        <f t="shared" si="22"/>
        <v/>
      </c>
      <c r="Z115" s="28" t="str">
        <f t="shared" si="22"/>
        <v/>
      </c>
      <c r="AA115" s="28" t="str">
        <f t="shared" si="22"/>
        <v/>
      </c>
      <c r="AB115" s="28" t="str">
        <f t="shared" si="22"/>
        <v/>
      </c>
      <c r="AC115" s="28" t="str">
        <f t="shared" si="22"/>
        <v/>
      </c>
      <c r="AD115" s="28" t="str">
        <f t="shared" si="22"/>
        <v/>
      </c>
      <c r="AE115" s="28" t="str">
        <f t="shared" si="22"/>
        <v/>
      </c>
      <c r="AF115" s="28" t="str">
        <f t="shared" si="22"/>
        <v/>
      </c>
      <c r="AG115" s="28" t="str">
        <f t="shared" si="22"/>
        <v/>
      </c>
    </row>
    <row r="116" spans="1:33" ht="18" x14ac:dyDescent="0.2">
      <c r="A116" s="70"/>
      <c r="B116" s="27"/>
      <c r="C116" s="28" t="str">
        <f t="shared" ref="C116:AG116" si="23">IF(C86="","",C86)</f>
        <v/>
      </c>
      <c r="D116" s="28" t="str">
        <f t="shared" si="23"/>
        <v/>
      </c>
      <c r="E116" s="28" t="str">
        <f t="shared" si="23"/>
        <v/>
      </c>
      <c r="F116" s="28" t="str">
        <f t="shared" si="23"/>
        <v/>
      </c>
      <c r="G116" s="28" t="str">
        <f t="shared" si="23"/>
        <v/>
      </c>
      <c r="H116" s="28" t="str">
        <f t="shared" si="23"/>
        <v/>
      </c>
      <c r="I116" s="28" t="str">
        <f t="shared" si="23"/>
        <v/>
      </c>
      <c r="J116" s="28" t="str">
        <f t="shared" si="23"/>
        <v/>
      </c>
      <c r="K116" s="28" t="str">
        <f t="shared" si="23"/>
        <v/>
      </c>
      <c r="L116" s="28" t="str">
        <f t="shared" si="23"/>
        <v/>
      </c>
      <c r="M116" s="28" t="str">
        <f t="shared" si="23"/>
        <v/>
      </c>
      <c r="N116" s="28" t="str">
        <f t="shared" si="23"/>
        <v/>
      </c>
      <c r="O116" s="28" t="str">
        <f t="shared" si="23"/>
        <v/>
      </c>
      <c r="P116" s="28" t="str">
        <f t="shared" si="23"/>
        <v/>
      </c>
      <c r="Q116" s="28" t="str">
        <f t="shared" si="23"/>
        <v/>
      </c>
      <c r="R116" s="28" t="str">
        <f t="shared" si="23"/>
        <v/>
      </c>
      <c r="S116" s="28" t="str">
        <f t="shared" si="23"/>
        <v/>
      </c>
      <c r="T116" s="28" t="str">
        <f t="shared" si="23"/>
        <v/>
      </c>
      <c r="U116" s="28" t="str">
        <f t="shared" si="23"/>
        <v/>
      </c>
      <c r="V116" s="28" t="str">
        <f t="shared" si="23"/>
        <v/>
      </c>
      <c r="W116" s="28" t="str">
        <f t="shared" si="23"/>
        <v/>
      </c>
      <c r="X116" s="28" t="str">
        <f t="shared" si="23"/>
        <v/>
      </c>
      <c r="Y116" s="28" t="str">
        <f t="shared" si="23"/>
        <v/>
      </c>
      <c r="Z116" s="28" t="str">
        <f t="shared" si="23"/>
        <v/>
      </c>
      <c r="AA116" s="28" t="str">
        <f t="shared" si="23"/>
        <v/>
      </c>
      <c r="AB116" s="28" t="str">
        <f t="shared" si="23"/>
        <v/>
      </c>
      <c r="AC116" s="28" t="str">
        <f t="shared" si="23"/>
        <v/>
      </c>
      <c r="AD116" s="28" t="str">
        <f t="shared" si="23"/>
        <v/>
      </c>
      <c r="AE116" s="28" t="str">
        <f t="shared" si="23"/>
        <v/>
      </c>
      <c r="AF116" s="28" t="str">
        <f t="shared" si="23"/>
        <v/>
      </c>
      <c r="AG116" s="28" t="str">
        <f t="shared" si="23"/>
        <v/>
      </c>
    </row>
    <row r="117" spans="1:33" ht="18" x14ac:dyDescent="0.4">
      <c r="A117" s="4" t="s">
        <v>219</v>
      </c>
      <c r="B117" s="4"/>
      <c r="C117" s="4"/>
      <c r="D117" s="4"/>
      <c r="E117" s="4"/>
      <c r="F117" s="4"/>
      <c r="G117" s="4"/>
      <c r="H117" s="4"/>
      <c r="I117" s="4"/>
      <c r="J117" s="4"/>
      <c r="K117" s="4"/>
      <c r="L117" s="4"/>
      <c r="M117" s="4"/>
      <c r="N117" s="4"/>
      <c r="O117" s="4"/>
      <c r="P117" s="4"/>
      <c r="Q117" s="4"/>
      <c r="R117" s="4"/>
      <c r="S117" s="4"/>
      <c r="T117" s="4"/>
      <c r="U117" s="10"/>
      <c r="V117" s="10"/>
      <c r="W117" s="71" t="s">
        <v>186</v>
      </c>
      <c r="X117" s="71"/>
      <c r="Y117" s="71"/>
      <c r="Z117" s="71"/>
      <c r="AA117" s="71"/>
      <c r="AB117" s="71"/>
      <c r="AC117" s="71"/>
      <c r="AD117" s="10"/>
      <c r="AE117" s="10"/>
      <c r="AF117" s="10"/>
      <c r="AG117" s="10"/>
    </row>
    <row r="118" spans="1:33" ht="18" x14ac:dyDescent="0.4">
      <c r="A118" s="7"/>
      <c r="B118" s="7"/>
      <c r="C118" s="7"/>
      <c r="D118" s="7"/>
      <c r="E118" s="7"/>
      <c r="F118" s="7"/>
      <c r="G118" s="7"/>
      <c r="H118" s="7"/>
      <c r="I118" s="7"/>
      <c r="J118" s="7"/>
      <c r="K118" s="7"/>
      <c r="L118" s="7"/>
      <c r="M118" s="7"/>
      <c r="N118" s="7"/>
      <c r="O118" s="7"/>
      <c r="P118" s="7"/>
      <c r="Q118" s="7"/>
      <c r="R118" s="7"/>
      <c r="S118" s="7"/>
      <c r="T118" s="7"/>
      <c r="U118" s="38"/>
      <c r="V118" s="38"/>
      <c r="W118" s="7"/>
      <c r="X118" s="7"/>
      <c r="Y118" s="7"/>
      <c r="Z118" s="7"/>
      <c r="AA118" s="7"/>
      <c r="AB118" s="7"/>
      <c r="AC118" s="7"/>
      <c r="AD118" s="7"/>
      <c r="AE118" s="7"/>
      <c r="AF118" s="7"/>
      <c r="AG118" s="7"/>
    </row>
    <row r="119" spans="1:33" ht="18" x14ac:dyDescent="0.4">
      <c r="A119" s="9"/>
      <c r="B119" s="9"/>
      <c r="C119" s="9"/>
      <c r="D119" s="9"/>
      <c r="E119" s="9"/>
      <c r="F119" s="9"/>
      <c r="G119" s="9"/>
      <c r="H119" s="9"/>
      <c r="I119" s="9"/>
      <c r="J119" s="9"/>
      <c r="K119" s="9"/>
      <c r="L119" s="9"/>
      <c r="M119" s="9"/>
      <c r="N119" s="9"/>
      <c r="O119" s="9"/>
      <c r="P119" s="72" t="s">
        <v>28</v>
      </c>
      <c r="Q119" s="72"/>
      <c r="R119" s="73" t="str">
        <f>IF(R89=0,"",R89)</f>
        <v>พีรวัส</v>
      </c>
      <c r="S119" s="73"/>
      <c r="T119" s="73"/>
      <c r="U119" s="97" t="s">
        <v>221</v>
      </c>
      <c r="V119" s="97"/>
      <c r="W119" s="73" t="str">
        <f>IF(W89=0,"",W89)</f>
        <v>วรพงศ์</v>
      </c>
      <c r="X119" s="73"/>
      <c r="Y119" s="73"/>
      <c r="Z119" s="8" t="s">
        <v>29</v>
      </c>
      <c r="AA119" s="74">
        <f>IF(AA89=0,"",AA89)</f>
        <v>46204</v>
      </c>
      <c r="AB119" s="73"/>
      <c r="AC119" s="73"/>
      <c r="AD119" s="9"/>
      <c r="AE119" s="73"/>
      <c r="AF119" s="73"/>
      <c r="AG119" s="73"/>
    </row>
    <row r="121" spans="1:33" ht="23.25" x14ac:dyDescent="0.5">
      <c r="A121" s="80" t="s">
        <v>210</v>
      </c>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row>
    <row r="122" spans="1:33" s="1" customFormat="1" ht="21" x14ac:dyDescent="0.45">
      <c r="A122" s="6" t="s">
        <v>22</v>
      </c>
      <c r="B122" s="81" t="s">
        <v>43</v>
      </c>
      <c r="C122" s="81"/>
      <c r="D122" s="81"/>
      <c r="E122" s="81"/>
      <c r="F122" s="81"/>
      <c r="G122" s="81"/>
      <c r="H122" s="6" t="s">
        <v>24</v>
      </c>
      <c r="I122" s="81" t="s">
        <v>44</v>
      </c>
      <c r="J122" s="81"/>
      <c r="K122" s="81"/>
      <c r="L122" s="81"/>
      <c r="M122" s="83" t="s">
        <v>25</v>
      </c>
      <c r="N122" s="83"/>
      <c r="O122" s="81" t="s">
        <v>256</v>
      </c>
      <c r="P122" s="81"/>
      <c r="Q122" s="81"/>
      <c r="R122" s="81"/>
      <c r="S122" s="81"/>
      <c r="T122" s="6" t="s">
        <v>20</v>
      </c>
      <c r="U122" s="101">
        <f>$U$2</f>
        <v>2569</v>
      </c>
      <c r="V122" s="101"/>
      <c r="W122" s="83" t="s">
        <v>35</v>
      </c>
      <c r="X122" s="83"/>
      <c r="Y122" s="83"/>
      <c r="Z122" s="1" t="s">
        <v>42</v>
      </c>
    </row>
    <row r="123" spans="1:33" ht="18.75" customHeight="1" x14ac:dyDescent="0.2">
      <c r="A123" s="20" t="s">
        <v>0</v>
      </c>
      <c r="B123" s="21" t="s">
        <v>2</v>
      </c>
      <c r="C123" s="98" t="str">
        <f>C3</f>
        <v>เดือน กรกฏาคม</v>
      </c>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row>
    <row r="124" spans="1:33" ht="18" x14ac:dyDescent="0.2">
      <c r="A124" s="23" t="s">
        <v>1</v>
      </c>
      <c r="B124" s="24" t="s">
        <v>3</v>
      </c>
      <c r="C124" s="22">
        <f>C4</f>
        <v>1</v>
      </c>
      <c r="D124" s="22">
        <f t="shared" ref="D124:AG124" si="24">D4</f>
        <v>2</v>
      </c>
      <c r="E124" s="22">
        <f t="shared" si="24"/>
        <v>3</v>
      </c>
      <c r="F124" s="22">
        <f t="shared" si="24"/>
        <v>4</v>
      </c>
      <c r="G124" s="22">
        <f t="shared" si="24"/>
        <v>5</v>
      </c>
      <c r="H124" s="22">
        <f t="shared" si="24"/>
        <v>6</v>
      </c>
      <c r="I124" s="22">
        <f t="shared" si="24"/>
        <v>7</v>
      </c>
      <c r="J124" s="22">
        <f t="shared" si="24"/>
        <v>8</v>
      </c>
      <c r="K124" s="22">
        <f t="shared" si="24"/>
        <v>9</v>
      </c>
      <c r="L124" s="22">
        <f t="shared" si="24"/>
        <v>10</v>
      </c>
      <c r="M124" s="22">
        <f t="shared" si="24"/>
        <v>11</v>
      </c>
      <c r="N124" s="22">
        <f t="shared" si="24"/>
        <v>12</v>
      </c>
      <c r="O124" s="22">
        <f t="shared" si="24"/>
        <v>13</v>
      </c>
      <c r="P124" s="22">
        <f t="shared" si="24"/>
        <v>14</v>
      </c>
      <c r="Q124" s="22">
        <f t="shared" si="24"/>
        <v>15</v>
      </c>
      <c r="R124" s="22">
        <f t="shared" si="24"/>
        <v>16</v>
      </c>
      <c r="S124" s="22">
        <f t="shared" si="24"/>
        <v>17</v>
      </c>
      <c r="T124" s="22">
        <f t="shared" si="24"/>
        <v>18</v>
      </c>
      <c r="U124" s="22">
        <f t="shared" si="24"/>
        <v>19</v>
      </c>
      <c r="V124" s="22">
        <f t="shared" si="24"/>
        <v>20</v>
      </c>
      <c r="W124" s="22">
        <f t="shared" si="24"/>
        <v>21</v>
      </c>
      <c r="X124" s="22">
        <f t="shared" si="24"/>
        <v>22</v>
      </c>
      <c r="Y124" s="22">
        <f t="shared" si="24"/>
        <v>23</v>
      </c>
      <c r="Z124" s="22">
        <f t="shared" si="24"/>
        <v>24</v>
      </c>
      <c r="AA124" s="22">
        <f t="shared" si="24"/>
        <v>25</v>
      </c>
      <c r="AB124" s="22">
        <f t="shared" si="24"/>
        <v>26</v>
      </c>
      <c r="AC124" s="22">
        <f t="shared" si="24"/>
        <v>27</v>
      </c>
      <c r="AD124" s="22">
        <f t="shared" si="24"/>
        <v>28</v>
      </c>
      <c r="AE124" s="22">
        <f t="shared" si="24"/>
        <v>29</v>
      </c>
      <c r="AF124" s="22">
        <f t="shared" si="24"/>
        <v>30</v>
      </c>
      <c r="AG124" s="22">
        <f t="shared" si="24"/>
        <v>31</v>
      </c>
    </row>
    <row r="125" spans="1:33" ht="18" x14ac:dyDescent="0.2">
      <c r="A125" s="25"/>
      <c r="B125" s="26"/>
      <c r="C125" s="22" t="str">
        <f>_xlfn.IFNA(IF(OR(C124="",C124=0),"",(VLOOKUP(B125,'น้ำยา-เครื่อง'!$A:$AF,C124+1,FALSE))),"")</f>
        <v/>
      </c>
      <c r="D125" s="22" t="str">
        <f>_xlfn.IFNA(IF(OR(D124="",D124=0),"",(VLOOKUP(B125,'น้ำยา-เครื่อง'!$A:$AF,D124+1,FALSE))),"")</f>
        <v/>
      </c>
      <c r="E125" s="22" t="str">
        <f>_xlfn.IFNA(IF(OR(E124="",E124=0),"",(VLOOKUP(B125,'น้ำยา-เครื่อง'!$A:$AF,E124+1,FALSE))),"")</f>
        <v/>
      </c>
      <c r="F125" s="22" t="str">
        <f>_xlfn.IFNA(IF(OR(F124="",F124=0),"",(VLOOKUP(B125,'น้ำยา-เครื่อง'!$A:$AF,F124+1,FALSE))),"")</f>
        <v/>
      </c>
      <c r="G125" s="22" t="str">
        <f>_xlfn.IFNA(IF(OR(G124="",G124=0),"",(VLOOKUP(B125,'น้ำยา-เครื่อง'!$A:$AF,G124+1,FALSE))),"")</f>
        <v/>
      </c>
      <c r="H125" s="22" t="str">
        <f>_xlfn.IFNA(IF(OR(H124="",H124=0),"",(VLOOKUP(B125,'น้ำยา-เครื่อง'!$A:$AF,H124+1,FALSE))),"")</f>
        <v/>
      </c>
      <c r="I125" s="22" t="str">
        <f>_xlfn.IFNA(IF(OR(I124="",I124=0),"",(VLOOKUP(B125,'น้ำยา-เครื่อง'!$A:$AF,I124+1,FALSE))),"")</f>
        <v/>
      </c>
      <c r="J125" s="22" t="str">
        <f>_xlfn.IFNA(IF(OR(J124="",J124=0),"",(VLOOKUP(B125,'น้ำยา-เครื่อง'!$A:$AF,J124+1,FALSE))),"")</f>
        <v/>
      </c>
      <c r="K125" s="22" t="str">
        <f>_xlfn.IFNA(IF(OR(K124="",K124=0),"",(VLOOKUP(B125,'น้ำยา-เครื่อง'!$A:$AF,K124+1,FALSE))),"")</f>
        <v/>
      </c>
      <c r="L125" s="22" t="str">
        <f>_xlfn.IFNA(IF(OR(L124="",L124=0),"",(VLOOKUP(B125,'น้ำยา-เครื่อง'!$A:$AF,L124+1,FALSE))),"")</f>
        <v/>
      </c>
      <c r="M125" s="22" t="str">
        <f>_xlfn.IFNA(IF(OR(M124="",M124=0),"",(VLOOKUP(B125,'น้ำยา-เครื่อง'!$A:$AF,M124+1,FALSE))),"")</f>
        <v/>
      </c>
      <c r="N125" s="22" t="str">
        <f>_xlfn.IFNA(IF(OR(N124="",N124=0),"",(VLOOKUP(B125,'น้ำยา-เครื่อง'!$A:$AF,N124+1,FALSE))),"")</f>
        <v/>
      </c>
      <c r="O125" s="22" t="str">
        <f>_xlfn.IFNA(IF(OR(O124="",O124=0),"",(VLOOKUP(B125,'น้ำยา-เครื่อง'!$A:$AF,O124+1,FALSE))),"")</f>
        <v/>
      </c>
      <c r="P125" s="22" t="str">
        <f>_xlfn.IFNA(IF(OR(P124="",P124=0),"",(VLOOKUP(B125,'น้ำยา-เครื่อง'!$A:$AF,P124+1,FALSE))),"")</f>
        <v/>
      </c>
      <c r="Q125" s="22" t="str">
        <f>_xlfn.IFNA(IF(OR(Q124="",Q124=0),"",(VLOOKUP(B125,'น้ำยา-เครื่อง'!$A:$AF,Q124+1,FALSE))),"")</f>
        <v/>
      </c>
      <c r="R125" s="22" t="str">
        <f>_xlfn.IFNA(IF(OR(R124="",R124=0),"",(VLOOKUP(B125,'น้ำยา-เครื่อง'!$A:$AF,R124+1,FALSE))),"")</f>
        <v/>
      </c>
      <c r="S125" s="22" t="str">
        <f>_xlfn.IFNA(IF(OR(S124="",S124=0),"",(VLOOKUP(B125,'น้ำยา-เครื่อง'!$A:$AF,S124+1,FALSE))),"")</f>
        <v/>
      </c>
      <c r="T125" s="22" t="str">
        <f>_xlfn.IFNA(IF(OR(T124="",T124=0),"",(VLOOKUP(B125,'น้ำยา-เครื่อง'!$A:$AF,T124+1,FALSE))),"")</f>
        <v/>
      </c>
      <c r="U125" s="22" t="str">
        <f>_xlfn.IFNA(IF(OR(U124="",U124=0),"",(VLOOKUP(B125,'น้ำยา-เครื่อง'!$A:$AF,U124+1,FALSE))),"")</f>
        <v/>
      </c>
      <c r="V125" s="22" t="str">
        <f>_xlfn.IFNA(IF(OR(V124="",V124=0),"",(VLOOKUP(B125,'น้ำยา-เครื่อง'!$A:$AF,V124+1,FALSE))),"")</f>
        <v/>
      </c>
      <c r="W125" s="22" t="str">
        <f>_xlfn.IFNA(IF(OR(W124="",W124=0),"",(VLOOKUP(B125,'น้ำยา-เครื่อง'!$A:$AF,W124+1,FALSE))),"")</f>
        <v/>
      </c>
      <c r="X125" s="22" t="str">
        <f>_xlfn.IFNA(IF(OR(X124="",X124=0),"",(VLOOKUP(B125,'น้ำยา-เครื่อง'!$A:$AF,X124+1,FALSE))),"")</f>
        <v/>
      </c>
      <c r="Y125" s="22" t="str">
        <f>_xlfn.IFNA(IF(OR(Y124="",Y124=0),"",(VLOOKUP(B125,'น้ำยา-เครื่อง'!$A:$AF,Y124+1,FALSE))),"")</f>
        <v/>
      </c>
      <c r="Z125" s="22" t="str">
        <f>_xlfn.IFNA(IF(OR(Z124="",Z124=0),"",(VLOOKUP(B125,'น้ำยา-เครื่อง'!$A:$AF,Z124+1,FALSE))),"")</f>
        <v/>
      </c>
      <c r="AA125" s="22" t="str">
        <f>_xlfn.IFNA(IF(OR(AA124="",AA124=0),"",(VLOOKUP(B125,'น้ำยา-เครื่อง'!$A:$AF,AA124+1,FALSE))),"")</f>
        <v/>
      </c>
      <c r="AB125" s="22" t="str">
        <f>_xlfn.IFNA(IF(OR(AB124="",AB124=0),"",(VLOOKUP(B125,'น้ำยา-เครื่อง'!$A:$AF,AB124+1,FALSE))),"")</f>
        <v/>
      </c>
      <c r="AC125" s="22" t="str">
        <f>_xlfn.IFNA(IF(OR(AC124="",AC124=0),"",(VLOOKUP(B125,'น้ำยา-เครื่อง'!$A:$AF,AC124+1,FALSE))),"")</f>
        <v/>
      </c>
      <c r="AD125" s="22" t="str">
        <f>_xlfn.IFNA(IF(OR(AD124="",AD124=0),"",(VLOOKUP(B125,'น้ำยา-เครื่อง'!$A:$AF,AD124+1,FALSE))),"")</f>
        <v/>
      </c>
      <c r="AE125" s="22" t="str">
        <f>_xlfn.IFNA(IF(OR(AE124="",AE124=0),"",(VLOOKUP(B125,'น้ำยา-เครื่อง'!$A:$AF,AE124+1,FALSE))),"")</f>
        <v/>
      </c>
      <c r="AF125" s="22" t="str">
        <f>_xlfn.IFNA(IF(OR(AF124="",AF124=0),"",(VLOOKUP(B125,'น้ำยา-เครื่อง'!$A:$AF,AF124+1,FALSE))),"")</f>
        <v/>
      </c>
      <c r="AG125" s="22" t="str">
        <f>_xlfn.IFNA(IF(OR(AG124="",AG124=0),"",(VLOOKUP(B125,'น้ำยา-เครื่อง'!$A:$AF,AG124+1,FALSE))),"")</f>
        <v/>
      </c>
    </row>
    <row r="126" spans="1:33" ht="18.75" customHeight="1" x14ac:dyDescent="0.2">
      <c r="A126" s="70" t="s">
        <v>45</v>
      </c>
      <c r="B126" s="27" t="s">
        <v>5</v>
      </c>
      <c r="C126" s="28"/>
      <c r="D126" s="28"/>
      <c r="E126" s="28"/>
      <c r="F126" s="28"/>
      <c r="G126" s="29"/>
      <c r="H126" s="28"/>
      <c r="I126" s="28"/>
      <c r="J126" s="28"/>
      <c r="K126" s="29"/>
      <c r="L126" s="28"/>
      <c r="M126" s="28"/>
      <c r="N126" s="28"/>
      <c r="O126" s="28"/>
      <c r="P126" s="29"/>
      <c r="Q126" s="28"/>
      <c r="R126" s="28"/>
      <c r="S126" s="28"/>
      <c r="T126" s="29"/>
      <c r="U126" s="28"/>
      <c r="V126" s="28"/>
      <c r="W126" s="28"/>
      <c r="X126" s="28"/>
      <c r="Y126" s="29"/>
      <c r="Z126" s="28"/>
      <c r="AA126" s="28"/>
      <c r="AB126" s="22"/>
      <c r="AC126" s="29"/>
      <c r="AD126" s="28"/>
      <c r="AE126" s="28"/>
      <c r="AF126" s="22"/>
      <c r="AG126" s="29"/>
    </row>
    <row r="127" spans="1:33" ht="18" x14ac:dyDescent="0.2">
      <c r="A127" s="70"/>
      <c r="B127" s="27" t="s">
        <v>6</v>
      </c>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row>
    <row r="128" spans="1:33" ht="18" x14ac:dyDescent="0.2">
      <c r="A128" s="70"/>
      <c r="B128" s="27"/>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row>
    <row r="129" spans="1:33" ht="18" x14ac:dyDescent="0.2">
      <c r="A129" s="70"/>
      <c r="B129" s="27" t="s">
        <v>5</v>
      </c>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2"/>
      <c r="AC129" s="28"/>
      <c r="AD129" s="28"/>
      <c r="AE129" s="28"/>
      <c r="AF129" s="22"/>
      <c r="AG129" s="28"/>
    </row>
    <row r="130" spans="1:33" ht="18" x14ac:dyDescent="0.2">
      <c r="A130" s="70"/>
      <c r="B130" s="27" t="s">
        <v>6</v>
      </c>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row>
    <row r="131" spans="1:33" ht="18" x14ac:dyDescent="0.2">
      <c r="A131" s="70"/>
      <c r="B131" s="27"/>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row>
    <row r="132" spans="1:33" ht="18" x14ac:dyDescent="0.2">
      <c r="A132" s="70"/>
      <c r="B132" s="27" t="s">
        <v>5</v>
      </c>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2"/>
      <c r="AC132" s="28"/>
      <c r="AD132" s="28"/>
      <c r="AE132" s="28"/>
      <c r="AF132" s="22"/>
      <c r="AG132" s="28"/>
    </row>
    <row r="133" spans="1:33" ht="18" x14ac:dyDescent="0.2">
      <c r="A133" s="70"/>
      <c r="B133" s="27" t="s">
        <v>6</v>
      </c>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row>
    <row r="134" spans="1:33" ht="18" x14ac:dyDescent="0.2">
      <c r="A134" s="70"/>
      <c r="B134" s="27"/>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row>
    <row r="135" spans="1:33" ht="18.75" customHeight="1" x14ac:dyDescent="0.2">
      <c r="A135" s="20" t="s">
        <v>0</v>
      </c>
      <c r="B135" s="21" t="s">
        <v>2</v>
      </c>
      <c r="C135" s="98" t="str">
        <f>C15</f>
        <v>เดือน สิงหาคม</v>
      </c>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row>
    <row r="136" spans="1:33" ht="18" x14ac:dyDescent="0.2">
      <c r="A136" s="23" t="s">
        <v>1</v>
      </c>
      <c r="B136" s="24" t="s">
        <v>3</v>
      </c>
      <c r="C136" s="22">
        <f>C16</f>
        <v>1</v>
      </c>
      <c r="D136" s="22">
        <f t="shared" ref="D136:AG136" si="25">D16</f>
        <v>2</v>
      </c>
      <c r="E136" s="22">
        <f t="shared" si="25"/>
        <v>3</v>
      </c>
      <c r="F136" s="22">
        <f t="shared" si="25"/>
        <v>4</v>
      </c>
      <c r="G136" s="22">
        <f t="shared" si="25"/>
        <v>5</v>
      </c>
      <c r="H136" s="22">
        <f t="shared" si="25"/>
        <v>6</v>
      </c>
      <c r="I136" s="22">
        <f t="shared" si="25"/>
        <v>7</v>
      </c>
      <c r="J136" s="22">
        <f t="shared" si="25"/>
        <v>8</v>
      </c>
      <c r="K136" s="22">
        <f t="shared" si="25"/>
        <v>9</v>
      </c>
      <c r="L136" s="22">
        <f t="shared" si="25"/>
        <v>10</v>
      </c>
      <c r="M136" s="22">
        <f t="shared" si="25"/>
        <v>11</v>
      </c>
      <c r="N136" s="22">
        <f t="shared" si="25"/>
        <v>12</v>
      </c>
      <c r="O136" s="22">
        <f t="shared" si="25"/>
        <v>13</v>
      </c>
      <c r="P136" s="22">
        <f t="shared" si="25"/>
        <v>14</v>
      </c>
      <c r="Q136" s="22">
        <f t="shared" si="25"/>
        <v>15</v>
      </c>
      <c r="R136" s="22">
        <f t="shared" si="25"/>
        <v>16</v>
      </c>
      <c r="S136" s="22">
        <f t="shared" si="25"/>
        <v>17</v>
      </c>
      <c r="T136" s="22">
        <f t="shared" si="25"/>
        <v>18</v>
      </c>
      <c r="U136" s="22">
        <f t="shared" si="25"/>
        <v>19</v>
      </c>
      <c r="V136" s="22">
        <f t="shared" si="25"/>
        <v>20</v>
      </c>
      <c r="W136" s="22">
        <f t="shared" si="25"/>
        <v>21</v>
      </c>
      <c r="X136" s="22">
        <f t="shared" si="25"/>
        <v>22</v>
      </c>
      <c r="Y136" s="22">
        <f t="shared" si="25"/>
        <v>23</v>
      </c>
      <c r="Z136" s="22">
        <f t="shared" si="25"/>
        <v>24</v>
      </c>
      <c r="AA136" s="22">
        <f t="shared" si="25"/>
        <v>25</v>
      </c>
      <c r="AB136" s="22">
        <f t="shared" si="25"/>
        <v>26</v>
      </c>
      <c r="AC136" s="22">
        <f t="shared" si="25"/>
        <v>27</v>
      </c>
      <c r="AD136" s="22">
        <f t="shared" si="25"/>
        <v>28</v>
      </c>
      <c r="AE136" s="22">
        <f t="shared" si="25"/>
        <v>29</v>
      </c>
      <c r="AF136" s="22">
        <f t="shared" si="25"/>
        <v>30</v>
      </c>
      <c r="AG136" s="22">
        <f t="shared" si="25"/>
        <v>0</v>
      </c>
    </row>
    <row r="137" spans="1:33" ht="18" x14ac:dyDescent="0.2">
      <c r="A137" s="25"/>
      <c r="B137" s="26"/>
      <c r="C137" s="22" t="str">
        <f>_xlfn.IFNA(IF(OR(C136="",C136=0),"",(VLOOKUP($B137,'น้ำยา-เครื่อง'!$A$14:$AF$23,C136+1,FALSE))),"")</f>
        <v/>
      </c>
      <c r="D137" s="22" t="str">
        <f>_xlfn.IFNA(IF(OR(D136="",D136=0),"",(VLOOKUP($B137,'น้ำยา-เครื่อง'!$A$14:$AF$23,D136+1,FALSE))),"")</f>
        <v/>
      </c>
      <c r="E137" s="22" t="str">
        <f>_xlfn.IFNA(IF(OR(E136="",E136=0),"",(VLOOKUP($B137,'น้ำยา-เครื่อง'!$A$14:$AF$23,E136+1,FALSE))),"")</f>
        <v/>
      </c>
      <c r="F137" s="22" t="str">
        <f>_xlfn.IFNA(IF(OR(F136="",F136=0),"",(VLOOKUP($B137,'น้ำยา-เครื่อง'!$A$14:$AF$23,F136+1,FALSE))),"")</f>
        <v/>
      </c>
      <c r="G137" s="22" t="str">
        <f>_xlfn.IFNA(IF(OR(G136="",G136=0),"",(VLOOKUP($B137,'น้ำยา-เครื่อง'!$A$14:$AF$23,G136+1,FALSE))),"")</f>
        <v/>
      </c>
      <c r="H137" s="22" t="str">
        <f>_xlfn.IFNA(IF(OR(H136="",H136=0),"",(VLOOKUP($B137,'น้ำยา-เครื่อง'!$A$14:$AF$23,H136+1,FALSE))),"")</f>
        <v/>
      </c>
      <c r="I137" s="22" t="str">
        <f>_xlfn.IFNA(IF(OR(I136="",I136=0),"",(VLOOKUP($B137,'น้ำยา-เครื่อง'!$A$14:$AF$23,I136+1,FALSE))),"")</f>
        <v/>
      </c>
      <c r="J137" s="22" t="str">
        <f>_xlfn.IFNA(IF(OR(J136="",J136=0),"",(VLOOKUP($B137,'น้ำยา-เครื่อง'!$A$14:$AF$23,J136+1,FALSE))),"")</f>
        <v/>
      </c>
      <c r="K137" s="22" t="str">
        <f>_xlfn.IFNA(IF(OR(K136="",K136=0),"",(VLOOKUP($B137,'น้ำยา-เครื่อง'!$A$14:$AF$23,K136+1,FALSE))),"")</f>
        <v/>
      </c>
      <c r="L137" s="22" t="str">
        <f>_xlfn.IFNA(IF(OR(L136="",L136=0),"",(VLOOKUP($B137,'น้ำยา-เครื่อง'!$A$14:$AF$23,L136+1,FALSE))),"")</f>
        <v/>
      </c>
      <c r="M137" s="22" t="str">
        <f>_xlfn.IFNA(IF(OR(M136="",M136=0),"",(VLOOKUP($B137,'น้ำยา-เครื่อง'!$A$14:$AF$23,M136+1,FALSE))),"")</f>
        <v/>
      </c>
      <c r="N137" s="22" t="str">
        <f>_xlfn.IFNA(IF(OR(N136="",N136=0),"",(VLOOKUP($B137,'น้ำยา-เครื่อง'!$A$14:$AF$23,N136+1,FALSE))),"")</f>
        <v/>
      </c>
      <c r="O137" s="22" t="str">
        <f>_xlfn.IFNA(IF(OR(O136="",O136=0),"",(VLOOKUP($B137,'น้ำยา-เครื่อง'!$A$14:$AF$23,O136+1,FALSE))),"")</f>
        <v/>
      </c>
      <c r="P137" s="22" t="str">
        <f>_xlfn.IFNA(IF(OR(P136="",P136=0),"",(VLOOKUP($B137,'น้ำยา-เครื่อง'!$A$14:$AF$23,P136+1,FALSE))),"")</f>
        <v/>
      </c>
      <c r="Q137" s="22" t="str">
        <f>_xlfn.IFNA(IF(OR(Q136="",Q136=0),"",(VLOOKUP($B137,'น้ำยา-เครื่อง'!$A$14:$AF$23,Q136+1,FALSE))),"")</f>
        <v/>
      </c>
      <c r="R137" s="22" t="str">
        <f>_xlfn.IFNA(IF(OR(R136="",R136=0),"",(VLOOKUP($B137,'น้ำยา-เครื่อง'!$A$14:$AF$23,R136+1,FALSE))),"")</f>
        <v/>
      </c>
      <c r="S137" s="22" t="str">
        <f>_xlfn.IFNA(IF(OR(S136="",S136=0),"",(VLOOKUP($B137,'น้ำยา-เครื่อง'!$A$14:$AF$23,S136+1,FALSE))),"")</f>
        <v/>
      </c>
      <c r="T137" s="22" t="str">
        <f>_xlfn.IFNA(IF(OR(T136="",T136=0),"",(VLOOKUP($B137,'น้ำยา-เครื่อง'!$A$14:$AF$23,T136+1,FALSE))),"")</f>
        <v/>
      </c>
      <c r="U137" s="22" t="str">
        <f>_xlfn.IFNA(IF(OR(U136="",U136=0),"",(VLOOKUP($B137,'น้ำยา-เครื่อง'!$A$14:$AF$23,U136+1,FALSE))),"")</f>
        <v/>
      </c>
      <c r="V137" s="22" t="str">
        <f>_xlfn.IFNA(IF(OR(V136="",V136=0),"",(VLOOKUP($B137,'น้ำยา-เครื่อง'!$A$14:$AF$23,V136+1,FALSE))),"")</f>
        <v/>
      </c>
      <c r="W137" s="22" t="str">
        <f>_xlfn.IFNA(IF(OR(W136="",W136=0),"",(VLOOKUP($B137,'น้ำยา-เครื่อง'!$A$14:$AF$23,W136+1,FALSE))),"")</f>
        <v/>
      </c>
      <c r="X137" s="22" t="str">
        <f>_xlfn.IFNA(IF(OR(X136="",X136=0),"",(VLOOKUP($B137,'น้ำยา-เครื่อง'!$A$14:$AF$23,X136+1,FALSE))),"")</f>
        <v/>
      </c>
      <c r="Y137" s="22" t="str">
        <f>_xlfn.IFNA(IF(OR(Y136="",Y136=0),"",(VLOOKUP($B137,'น้ำยา-เครื่อง'!$A$14:$AF$23,Y136+1,FALSE))),"")</f>
        <v/>
      </c>
      <c r="Z137" s="22" t="str">
        <f>_xlfn.IFNA(IF(OR(Z136="",Z136=0),"",(VLOOKUP($B137,'น้ำยา-เครื่อง'!$A$14:$AF$23,Z136+1,FALSE))),"")</f>
        <v/>
      </c>
      <c r="AA137" s="22" t="str">
        <f>_xlfn.IFNA(IF(OR(AA136="",AA136=0),"",(VLOOKUP($B137,'น้ำยา-เครื่อง'!$A$14:$AF$23,AA136+1,FALSE))),"")</f>
        <v/>
      </c>
      <c r="AB137" s="22" t="str">
        <f>_xlfn.IFNA(IF(OR(AB136="",AB136=0),"",(VLOOKUP($B137,'น้ำยา-เครื่อง'!$A$14:$AF$23,AB136+1,FALSE))),"")</f>
        <v/>
      </c>
      <c r="AC137" s="22" t="str">
        <f>_xlfn.IFNA(IF(OR(AC136="",AC136=0),"",(VLOOKUP($B137,'น้ำยา-เครื่อง'!$A$14:$AF$23,AC136+1,FALSE))),"")</f>
        <v/>
      </c>
      <c r="AD137" s="22" t="str">
        <f>_xlfn.IFNA(IF(OR(AD136="",AD136=0),"",(VLOOKUP($B137,'น้ำยา-เครื่อง'!$A$14:$AF$23,AD136+1,FALSE))),"")</f>
        <v/>
      </c>
      <c r="AE137" s="22" t="str">
        <f>_xlfn.IFNA(IF(OR(AE136="",AE136=0),"",(VLOOKUP($B137,'น้ำยา-เครื่อง'!$A$14:$AF$23,AE136+1,FALSE))),"")</f>
        <v/>
      </c>
      <c r="AF137" s="22" t="str">
        <f>_xlfn.IFNA(IF(OR(AF136="",AF136=0),"",(VLOOKUP($B137,'น้ำยา-เครื่อง'!$A$14:$AF$23,AF136+1,FALSE))),"")</f>
        <v/>
      </c>
      <c r="AG137" s="22" t="str">
        <f>_xlfn.IFNA(IF(OR(AG136="",AG136=0),"",(VLOOKUP($B137,'น้ำยา-เครื่อง'!$A$14:$AF$23,AG136+1,FALSE))),"")</f>
        <v/>
      </c>
    </row>
    <row r="138" spans="1:33" ht="18.75" customHeight="1" x14ac:dyDescent="0.2">
      <c r="A138" s="70" t="s">
        <v>45</v>
      </c>
      <c r="B138" s="27" t="s">
        <v>5</v>
      </c>
      <c r="C138" s="28"/>
      <c r="D138" s="28"/>
      <c r="E138" s="28"/>
      <c r="F138" s="28"/>
      <c r="G138" s="29"/>
      <c r="H138" s="28"/>
      <c r="I138" s="28"/>
      <c r="J138" s="28"/>
      <c r="K138" s="29"/>
      <c r="L138" s="28"/>
      <c r="M138" s="28"/>
      <c r="N138" s="28"/>
      <c r="O138" s="28"/>
      <c r="P138" s="29"/>
      <c r="Q138" s="28"/>
      <c r="R138" s="28"/>
      <c r="S138" s="28"/>
      <c r="T138" s="29"/>
      <c r="U138" s="28"/>
      <c r="V138" s="28"/>
      <c r="W138" s="28"/>
      <c r="X138" s="28"/>
      <c r="Y138" s="29"/>
      <c r="Z138" s="28"/>
      <c r="AA138" s="28"/>
      <c r="AB138" s="22"/>
      <c r="AC138" s="29"/>
      <c r="AD138" s="28"/>
      <c r="AE138" s="28"/>
      <c r="AF138" s="22"/>
      <c r="AG138" s="29"/>
    </row>
    <row r="139" spans="1:33" ht="18" x14ac:dyDescent="0.2">
      <c r="A139" s="70"/>
      <c r="B139" s="27" t="s">
        <v>6</v>
      </c>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row>
    <row r="140" spans="1:33" ht="18" x14ac:dyDescent="0.2">
      <c r="A140" s="70"/>
      <c r="B140" s="27"/>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row>
    <row r="141" spans="1:33" ht="18.75" customHeight="1" x14ac:dyDescent="0.2">
      <c r="A141" s="70"/>
      <c r="B141" s="27" t="s">
        <v>5</v>
      </c>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2"/>
      <c r="AC141" s="28"/>
      <c r="AD141" s="28"/>
      <c r="AE141" s="28"/>
      <c r="AF141" s="22"/>
      <c r="AG141" s="28"/>
    </row>
    <row r="142" spans="1:33" ht="18" x14ac:dyDescent="0.2">
      <c r="A142" s="70"/>
      <c r="B142" s="27" t="s">
        <v>6</v>
      </c>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row>
    <row r="143" spans="1:33" ht="18" x14ac:dyDescent="0.2">
      <c r="A143" s="70"/>
      <c r="B143" s="27"/>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row>
    <row r="144" spans="1:33" ht="18" x14ac:dyDescent="0.2">
      <c r="A144" s="70"/>
      <c r="B144" s="27" t="s">
        <v>5</v>
      </c>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2"/>
      <c r="AC144" s="28"/>
      <c r="AD144" s="28"/>
      <c r="AE144" s="28"/>
      <c r="AF144" s="22"/>
      <c r="AG144" s="28"/>
    </row>
    <row r="145" spans="1:33" ht="18" x14ac:dyDescent="0.2">
      <c r="A145" s="70"/>
      <c r="B145" s="27" t="s">
        <v>6</v>
      </c>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row>
    <row r="146" spans="1:33" ht="18" x14ac:dyDescent="0.2">
      <c r="A146" s="70"/>
      <c r="B146" s="27"/>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row>
    <row r="147" spans="1:33" ht="18" x14ac:dyDescent="0.4">
      <c r="A147" s="4" t="s">
        <v>219</v>
      </c>
      <c r="B147" s="4"/>
      <c r="C147" s="4"/>
      <c r="D147" s="4"/>
      <c r="E147" s="4"/>
      <c r="F147" s="4"/>
      <c r="G147" s="4"/>
      <c r="H147" s="4"/>
      <c r="I147" s="4"/>
      <c r="J147" s="4"/>
      <c r="K147" s="4"/>
      <c r="L147" s="4"/>
      <c r="M147" s="4"/>
      <c r="N147" s="4"/>
      <c r="O147" s="4"/>
      <c r="P147" s="4"/>
      <c r="Q147" s="4"/>
      <c r="R147" s="4"/>
      <c r="S147" s="4"/>
      <c r="T147" s="4"/>
      <c r="U147" s="10"/>
      <c r="V147" s="10"/>
      <c r="W147" s="71" t="s">
        <v>186</v>
      </c>
      <c r="X147" s="71"/>
      <c r="Y147" s="71"/>
      <c r="Z147" s="71"/>
      <c r="AA147" s="71"/>
      <c r="AB147" s="71"/>
      <c r="AC147" s="71"/>
      <c r="AD147" s="10"/>
      <c r="AE147" s="10"/>
      <c r="AF147" s="10"/>
      <c r="AG147" s="10"/>
    </row>
    <row r="148" spans="1:33" ht="18" x14ac:dyDescent="0.4">
      <c r="A148" s="7"/>
      <c r="B148" s="7"/>
      <c r="C148" s="7"/>
      <c r="D148" s="7"/>
      <c r="E148" s="7"/>
      <c r="F148" s="7"/>
      <c r="G148" s="7"/>
      <c r="H148" s="7"/>
      <c r="I148" s="7"/>
      <c r="J148" s="7"/>
      <c r="K148" s="7"/>
      <c r="L148" s="7"/>
      <c r="M148" s="7"/>
      <c r="N148" s="7"/>
      <c r="O148" s="7"/>
      <c r="P148" s="7"/>
      <c r="Q148" s="7"/>
      <c r="R148" s="7"/>
      <c r="S148" s="7"/>
      <c r="T148" s="7"/>
      <c r="U148" s="38"/>
      <c r="V148" s="38"/>
      <c r="W148" s="7"/>
      <c r="X148" s="7"/>
      <c r="Y148" s="7"/>
      <c r="Z148" s="7"/>
      <c r="AA148" s="7"/>
      <c r="AB148" s="7"/>
      <c r="AC148" s="7"/>
      <c r="AD148" s="7"/>
      <c r="AE148" s="7"/>
      <c r="AF148" s="7"/>
      <c r="AG148" s="7"/>
    </row>
    <row r="149" spans="1:33" ht="18" x14ac:dyDescent="0.4">
      <c r="A149" s="9"/>
      <c r="B149" s="9"/>
      <c r="C149" s="9"/>
      <c r="D149" s="9"/>
      <c r="E149" s="9"/>
      <c r="F149" s="9"/>
      <c r="G149" s="9"/>
      <c r="H149" s="9"/>
      <c r="I149" s="9"/>
      <c r="J149" s="9"/>
      <c r="K149" s="9"/>
      <c r="L149" s="9"/>
      <c r="M149" s="9"/>
      <c r="N149" s="9"/>
      <c r="O149" s="9"/>
      <c r="P149" s="72" t="s">
        <v>28</v>
      </c>
      <c r="Q149" s="72"/>
      <c r="R149" s="73" t="str">
        <f>R29</f>
        <v>พีรวัส</v>
      </c>
      <c r="S149" s="73"/>
      <c r="T149" s="73"/>
      <c r="U149" s="97" t="s">
        <v>221</v>
      </c>
      <c r="V149" s="97"/>
      <c r="W149" s="73" t="str">
        <f>W29</f>
        <v>วรพงศ์</v>
      </c>
      <c r="X149" s="73"/>
      <c r="Y149" s="73"/>
      <c r="Z149" s="8" t="s">
        <v>29</v>
      </c>
      <c r="AA149" s="74">
        <f>AA29</f>
        <v>46204</v>
      </c>
      <c r="AB149" s="74"/>
      <c r="AC149" s="74"/>
      <c r="AD149" s="9"/>
      <c r="AE149" s="73"/>
      <c r="AF149" s="73"/>
      <c r="AG149" s="73"/>
    </row>
    <row r="151" spans="1:33" ht="23.25" x14ac:dyDescent="0.5">
      <c r="A151" s="80" t="s">
        <v>210</v>
      </c>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row>
    <row r="152" spans="1:33" s="1" customFormat="1" ht="21" x14ac:dyDescent="0.45">
      <c r="A152" s="6" t="s">
        <v>22</v>
      </c>
      <c r="B152" s="81" t="s">
        <v>254</v>
      </c>
      <c r="C152" s="81"/>
      <c r="D152" s="81"/>
      <c r="E152" s="81"/>
      <c r="F152" s="81"/>
      <c r="G152" s="81"/>
      <c r="H152" s="6" t="s">
        <v>24</v>
      </c>
      <c r="I152" s="84" t="s">
        <v>255</v>
      </c>
      <c r="J152" s="88"/>
      <c r="K152" s="88"/>
      <c r="L152" s="88"/>
      <c r="M152" s="83" t="s">
        <v>25</v>
      </c>
      <c r="N152" s="83"/>
      <c r="O152" s="81" t="s">
        <v>256</v>
      </c>
      <c r="P152" s="81"/>
      <c r="Q152" s="81"/>
      <c r="R152" s="81"/>
      <c r="S152" s="81"/>
      <c r="T152" s="6" t="s">
        <v>20</v>
      </c>
      <c r="U152" s="101">
        <f>$U$2</f>
        <v>2569</v>
      </c>
      <c r="V152" s="101"/>
      <c r="W152" s="83" t="s">
        <v>35</v>
      </c>
      <c r="X152" s="83"/>
      <c r="Y152" s="83"/>
      <c r="Z152" s="1" t="s">
        <v>42</v>
      </c>
    </row>
    <row r="153" spans="1:33" ht="18.75" customHeight="1" x14ac:dyDescent="0.2">
      <c r="A153" s="20" t="s">
        <v>0</v>
      </c>
      <c r="B153" s="21" t="s">
        <v>2</v>
      </c>
      <c r="C153" s="98" t="str">
        <f>C33</f>
        <v>เดือน กรกฏาคม</v>
      </c>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row>
    <row r="154" spans="1:33" ht="18" x14ac:dyDescent="0.2">
      <c r="A154" s="23" t="s">
        <v>1</v>
      </c>
      <c r="B154" s="24" t="s">
        <v>3</v>
      </c>
      <c r="C154" s="22">
        <f>C34</f>
        <v>1</v>
      </c>
      <c r="D154" s="22">
        <f t="shared" ref="D154:AG154" si="26">D34</f>
        <v>2</v>
      </c>
      <c r="E154" s="22">
        <f t="shared" si="26"/>
        <v>3</v>
      </c>
      <c r="F154" s="22">
        <f t="shared" si="26"/>
        <v>4</v>
      </c>
      <c r="G154" s="22">
        <f t="shared" si="26"/>
        <v>5</v>
      </c>
      <c r="H154" s="22">
        <f t="shared" si="26"/>
        <v>6</v>
      </c>
      <c r="I154" s="22">
        <f t="shared" si="26"/>
        <v>7</v>
      </c>
      <c r="J154" s="22">
        <f t="shared" si="26"/>
        <v>8</v>
      </c>
      <c r="K154" s="22">
        <f t="shared" si="26"/>
        <v>9</v>
      </c>
      <c r="L154" s="22">
        <f t="shared" si="26"/>
        <v>10</v>
      </c>
      <c r="M154" s="22">
        <f t="shared" si="26"/>
        <v>11</v>
      </c>
      <c r="N154" s="22">
        <f t="shared" si="26"/>
        <v>12</v>
      </c>
      <c r="O154" s="22">
        <f t="shared" si="26"/>
        <v>13</v>
      </c>
      <c r="P154" s="22">
        <f t="shared" si="26"/>
        <v>14</v>
      </c>
      <c r="Q154" s="22">
        <f t="shared" si="26"/>
        <v>15</v>
      </c>
      <c r="R154" s="22">
        <f t="shared" si="26"/>
        <v>16</v>
      </c>
      <c r="S154" s="22">
        <f t="shared" si="26"/>
        <v>17</v>
      </c>
      <c r="T154" s="22">
        <f t="shared" si="26"/>
        <v>18</v>
      </c>
      <c r="U154" s="22">
        <f t="shared" si="26"/>
        <v>19</v>
      </c>
      <c r="V154" s="22">
        <f t="shared" si="26"/>
        <v>20</v>
      </c>
      <c r="W154" s="22">
        <f t="shared" si="26"/>
        <v>21</v>
      </c>
      <c r="X154" s="22">
        <f t="shared" si="26"/>
        <v>22</v>
      </c>
      <c r="Y154" s="22">
        <f t="shared" si="26"/>
        <v>23</v>
      </c>
      <c r="Z154" s="22">
        <f t="shared" si="26"/>
        <v>24</v>
      </c>
      <c r="AA154" s="22">
        <f t="shared" si="26"/>
        <v>25</v>
      </c>
      <c r="AB154" s="22">
        <f t="shared" si="26"/>
        <v>26</v>
      </c>
      <c r="AC154" s="22">
        <f t="shared" si="26"/>
        <v>27</v>
      </c>
      <c r="AD154" s="22">
        <f t="shared" si="26"/>
        <v>28</v>
      </c>
      <c r="AE154" s="22">
        <f t="shared" si="26"/>
        <v>29</v>
      </c>
      <c r="AF154" s="22">
        <f t="shared" si="26"/>
        <v>30</v>
      </c>
      <c r="AG154" s="22">
        <f t="shared" si="26"/>
        <v>31</v>
      </c>
    </row>
    <row r="155" spans="1:33" ht="18" x14ac:dyDescent="0.2">
      <c r="A155" s="25"/>
      <c r="B155" s="26"/>
      <c r="C155" s="22" t="str">
        <f>_xlfn.IFNA(IF(OR(C154="",C154=0),"",(VLOOKUP(B155,'น้ำยา-เครื่อง'!$A:$AF,C154+1,FALSE))),"")</f>
        <v/>
      </c>
      <c r="D155" s="22" t="str">
        <f>_xlfn.IFNA(IF(OR(D154="",D154=0),"",(VLOOKUP(B155,'น้ำยา-เครื่อง'!$A:$AF,D154+1,FALSE))),"")</f>
        <v/>
      </c>
      <c r="E155" s="22" t="str">
        <f>_xlfn.IFNA(IF(OR(E154="",E154=0),"",(VLOOKUP(B155,'น้ำยา-เครื่อง'!$A:$AF,E154+1,FALSE))),"")</f>
        <v/>
      </c>
      <c r="F155" s="22" t="str">
        <f>_xlfn.IFNA(IF(OR(F154="",F154=0),"",(VLOOKUP(B155,'น้ำยา-เครื่อง'!$A:$AF,F154+1,FALSE))),"")</f>
        <v/>
      </c>
      <c r="G155" s="22" t="str">
        <f>_xlfn.IFNA(IF(OR(G154="",G154=0),"",(VLOOKUP(B155,'น้ำยา-เครื่อง'!$A:$AF,G154+1,FALSE))),"")</f>
        <v/>
      </c>
      <c r="H155" s="22" t="str">
        <f>_xlfn.IFNA(IF(OR(H154="",H154=0),"",(VLOOKUP(B155,'น้ำยา-เครื่อง'!$A:$AF,H154+1,FALSE))),"")</f>
        <v/>
      </c>
      <c r="I155" s="22" t="str">
        <f>_xlfn.IFNA(IF(OR(I154="",I154=0),"",(VLOOKUP(B155,'น้ำยา-เครื่อง'!$A:$AF,I154+1,FALSE))),"")</f>
        <v/>
      </c>
      <c r="J155" s="22" t="str">
        <f>_xlfn.IFNA(IF(OR(J154="",J154=0),"",(VLOOKUP(B155,'น้ำยา-เครื่อง'!$A:$AF,J154+1,FALSE))),"")</f>
        <v/>
      </c>
      <c r="K155" s="22" t="str">
        <f>_xlfn.IFNA(IF(OR(K154="",K154=0),"",(VLOOKUP(B155,'น้ำยา-เครื่อง'!$A:$AF,K154+1,FALSE))),"")</f>
        <v/>
      </c>
      <c r="L155" s="22" t="str">
        <f>_xlfn.IFNA(IF(OR(L154="",L154=0),"",(VLOOKUP(B155,'น้ำยา-เครื่อง'!$A:$AF,L154+1,FALSE))),"")</f>
        <v/>
      </c>
      <c r="M155" s="22" t="str">
        <f>_xlfn.IFNA(IF(OR(M154="",M154=0),"",(VLOOKUP(B155,'น้ำยา-เครื่อง'!$A:$AF,M154+1,FALSE))),"")</f>
        <v/>
      </c>
      <c r="N155" s="22" t="str">
        <f>_xlfn.IFNA(IF(OR(N154="",N154=0),"",(VLOOKUP(B155,'น้ำยา-เครื่อง'!$A:$AF,N154+1,FALSE))),"")</f>
        <v/>
      </c>
      <c r="O155" s="22" t="str">
        <f>_xlfn.IFNA(IF(OR(O154="",O154=0),"",(VLOOKUP(B155,'น้ำยา-เครื่อง'!$A:$AF,O154+1,FALSE))),"")</f>
        <v/>
      </c>
      <c r="P155" s="22" t="str">
        <f>_xlfn.IFNA(IF(OR(P154="",P154=0),"",(VLOOKUP(B155,'น้ำยา-เครื่อง'!$A:$AF,P154+1,FALSE))),"")</f>
        <v/>
      </c>
      <c r="Q155" s="22" t="str">
        <f>_xlfn.IFNA(IF(OR(Q154="",Q154=0),"",(VLOOKUP(B155,'น้ำยา-เครื่อง'!$A:$AF,Q154+1,FALSE))),"")</f>
        <v/>
      </c>
      <c r="R155" s="22" t="str">
        <f>_xlfn.IFNA(IF(OR(R154="",R154=0),"",(VLOOKUP(B155,'น้ำยา-เครื่อง'!$A:$AF,R154+1,FALSE))),"")</f>
        <v/>
      </c>
      <c r="S155" s="22" t="str">
        <f>_xlfn.IFNA(IF(OR(S154="",S154=0),"",(VLOOKUP(B155,'น้ำยา-เครื่อง'!$A:$AF,S154+1,FALSE))),"")</f>
        <v/>
      </c>
      <c r="T155" s="22" t="str">
        <f>_xlfn.IFNA(IF(OR(T154="",T154=0),"",(VLOOKUP(B155,'น้ำยา-เครื่อง'!$A:$AF,T154+1,FALSE))),"")</f>
        <v/>
      </c>
      <c r="U155" s="22" t="str">
        <f>_xlfn.IFNA(IF(OR(U154="",U154=0),"",(VLOOKUP(B155,'น้ำยา-เครื่อง'!$A:$AF,U154+1,FALSE))),"")</f>
        <v/>
      </c>
      <c r="V155" s="22" t="str">
        <f>_xlfn.IFNA(IF(OR(V154="",V154=0),"",(VLOOKUP(B155,'น้ำยา-เครื่อง'!$A:$AF,V154+1,FALSE))),"")</f>
        <v/>
      </c>
      <c r="W155" s="22" t="str">
        <f>_xlfn.IFNA(IF(OR(W154="",W154=0),"",(VLOOKUP(B155,'น้ำยา-เครื่อง'!$A:$AF,W154+1,FALSE))),"")</f>
        <v/>
      </c>
      <c r="X155" s="22" t="str">
        <f>_xlfn.IFNA(IF(OR(X154="",X154=0),"",(VLOOKUP(B155,'น้ำยา-เครื่อง'!$A:$AF,X154+1,FALSE))),"")</f>
        <v/>
      </c>
      <c r="Y155" s="22" t="str">
        <f>_xlfn.IFNA(IF(OR(Y154="",Y154=0),"",(VLOOKUP(B155,'น้ำยา-เครื่อง'!$A:$AF,Y154+1,FALSE))),"")</f>
        <v/>
      </c>
      <c r="Z155" s="22" t="str">
        <f>_xlfn.IFNA(IF(OR(Z154="",Z154=0),"",(VLOOKUP(B155,'น้ำยา-เครื่อง'!$A:$AF,Z154+1,FALSE))),"")</f>
        <v/>
      </c>
      <c r="AA155" s="22" t="str">
        <f>_xlfn.IFNA(IF(OR(AA154="",AA154=0),"",(VLOOKUP(B155,'น้ำยา-เครื่อง'!$A:$AF,AA154+1,FALSE))),"")</f>
        <v/>
      </c>
      <c r="AB155" s="22" t="str">
        <f>_xlfn.IFNA(IF(OR(AB154="",AB154=0),"",(VLOOKUP(B155,'น้ำยา-เครื่อง'!$A:$AF,AB154+1,FALSE))),"")</f>
        <v/>
      </c>
      <c r="AC155" s="22" t="str">
        <f>_xlfn.IFNA(IF(OR(AC154="",AC154=0),"",(VLOOKUP(B155,'น้ำยา-เครื่อง'!$A:$AF,AC154+1,FALSE))),"")</f>
        <v/>
      </c>
      <c r="AD155" s="22" t="str">
        <f>_xlfn.IFNA(IF(OR(AD154="",AD154=0),"",(VLOOKUP(B155,'น้ำยา-เครื่อง'!$A:$AF,AD154+1,FALSE))),"")</f>
        <v/>
      </c>
      <c r="AE155" s="22" t="str">
        <f>_xlfn.IFNA(IF(OR(AE154="",AE154=0),"",(VLOOKUP(B155,'น้ำยา-เครื่อง'!$A:$AF,AE154+1,FALSE))),"")</f>
        <v/>
      </c>
      <c r="AF155" s="22" t="str">
        <f>_xlfn.IFNA(IF(OR(AF154="",AF154=0),"",(VLOOKUP(B155,'น้ำยา-เครื่อง'!$A:$AF,AF154+1,FALSE))),"")</f>
        <v/>
      </c>
      <c r="AG155" s="22" t="str">
        <f>_xlfn.IFNA(IF(OR(AG154="",AG154=0),"",(VLOOKUP(B155,'น้ำยา-เครื่อง'!$A:$AF,AG154+1,FALSE))),"")</f>
        <v/>
      </c>
    </row>
    <row r="156" spans="1:33" ht="18.75" customHeight="1" x14ac:dyDescent="0.2">
      <c r="A156" s="70" t="s">
        <v>45</v>
      </c>
      <c r="B156" s="27" t="s">
        <v>5</v>
      </c>
      <c r="C156" s="28"/>
      <c r="D156" s="28"/>
      <c r="E156" s="28"/>
      <c r="F156" s="28"/>
      <c r="G156" s="29"/>
      <c r="H156" s="28"/>
      <c r="I156" s="28"/>
      <c r="J156" s="28"/>
      <c r="K156" s="29"/>
      <c r="L156" s="28"/>
      <c r="M156" s="28"/>
      <c r="N156" s="28"/>
      <c r="O156" s="28"/>
      <c r="P156" s="29"/>
      <c r="Q156" s="28"/>
      <c r="R156" s="28"/>
      <c r="S156" s="28"/>
      <c r="T156" s="29"/>
      <c r="U156" s="28"/>
      <c r="V156" s="28"/>
      <c r="W156" s="28"/>
      <c r="X156" s="28"/>
      <c r="Y156" s="29"/>
      <c r="Z156" s="28"/>
      <c r="AA156" s="28"/>
      <c r="AB156" s="22"/>
      <c r="AC156" s="29"/>
      <c r="AD156" s="28"/>
      <c r="AE156" s="28"/>
      <c r="AF156" s="22"/>
      <c r="AG156" s="29"/>
    </row>
    <row r="157" spans="1:33" ht="18" x14ac:dyDescent="0.2">
      <c r="A157" s="70"/>
      <c r="B157" s="27" t="s">
        <v>6</v>
      </c>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row>
    <row r="158" spans="1:33" ht="18" x14ac:dyDescent="0.2">
      <c r="A158" s="70"/>
      <c r="B158" s="27"/>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row>
    <row r="159" spans="1:33" ht="18" x14ac:dyDescent="0.2">
      <c r="A159" s="70"/>
      <c r="B159" s="27" t="s">
        <v>5</v>
      </c>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2"/>
      <c r="AC159" s="28"/>
      <c r="AD159" s="28"/>
      <c r="AE159" s="28"/>
      <c r="AF159" s="22"/>
      <c r="AG159" s="28"/>
    </row>
    <row r="160" spans="1:33" ht="18" x14ac:dyDescent="0.2">
      <c r="A160" s="70"/>
      <c r="B160" s="27" t="s">
        <v>6</v>
      </c>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row>
    <row r="161" spans="1:33" ht="18" x14ac:dyDescent="0.2">
      <c r="A161" s="70"/>
      <c r="B161" s="27"/>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row>
    <row r="162" spans="1:33" ht="18" x14ac:dyDescent="0.2">
      <c r="A162" s="70"/>
      <c r="B162" s="27" t="s">
        <v>5</v>
      </c>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2"/>
      <c r="AC162" s="28"/>
      <c r="AD162" s="28"/>
      <c r="AE162" s="28"/>
      <c r="AF162" s="22"/>
      <c r="AG162" s="28"/>
    </row>
    <row r="163" spans="1:33" ht="18" x14ac:dyDescent="0.2">
      <c r="A163" s="70"/>
      <c r="B163" s="27" t="s">
        <v>6</v>
      </c>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row>
    <row r="164" spans="1:33" ht="18" x14ac:dyDescent="0.2">
      <c r="A164" s="70"/>
      <c r="B164" s="27"/>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row>
    <row r="165" spans="1:33" ht="18.75" customHeight="1" x14ac:dyDescent="0.2">
      <c r="A165" s="20" t="s">
        <v>0</v>
      </c>
      <c r="B165" s="21" t="s">
        <v>2</v>
      </c>
      <c r="C165" s="98" t="str">
        <f>C45</f>
        <v>เดือน สิงหาคม</v>
      </c>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row>
    <row r="166" spans="1:33" ht="18" x14ac:dyDescent="0.2">
      <c r="A166" s="23" t="s">
        <v>1</v>
      </c>
      <c r="B166" s="24" t="s">
        <v>3</v>
      </c>
      <c r="C166" s="22">
        <f>C46</f>
        <v>1</v>
      </c>
      <c r="D166" s="22">
        <f t="shared" ref="D166:AG166" si="27">D46</f>
        <v>2</v>
      </c>
      <c r="E166" s="22">
        <f t="shared" si="27"/>
        <v>3</v>
      </c>
      <c r="F166" s="22">
        <f t="shared" si="27"/>
        <v>4</v>
      </c>
      <c r="G166" s="22">
        <f t="shared" si="27"/>
        <v>5</v>
      </c>
      <c r="H166" s="22">
        <f t="shared" si="27"/>
        <v>6</v>
      </c>
      <c r="I166" s="22">
        <f t="shared" si="27"/>
        <v>7</v>
      </c>
      <c r="J166" s="22">
        <f t="shared" si="27"/>
        <v>8</v>
      </c>
      <c r="K166" s="22">
        <f t="shared" si="27"/>
        <v>9</v>
      </c>
      <c r="L166" s="22">
        <f t="shared" si="27"/>
        <v>10</v>
      </c>
      <c r="M166" s="22">
        <f t="shared" si="27"/>
        <v>11</v>
      </c>
      <c r="N166" s="22">
        <f t="shared" si="27"/>
        <v>12</v>
      </c>
      <c r="O166" s="22">
        <f t="shared" si="27"/>
        <v>13</v>
      </c>
      <c r="P166" s="22">
        <f t="shared" si="27"/>
        <v>14</v>
      </c>
      <c r="Q166" s="22">
        <f t="shared" si="27"/>
        <v>15</v>
      </c>
      <c r="R166" s="22">
        <f t="shared" si="27"/>
        <v>16</v>
      </c>
      <c r="S166" s="22">
        <f t="shared" si="27"/>
        <v>17</v>
      </c>
      <c r="T166" s="22">
        <f t="shared" si="27"/>
        <v>18</v>
      </c>
      <c r="U166" s="22">
        <f t="shared" si="27"/>
        <v>19</v>
      </c>
      <c r="V166" s="22">
        <f t="shared" si="27"/>
        <v>20</v>
      </c>
      <c r="W166" s="22">
        <f t="shared" si="27"/>
        <v>21</v>
      </c>
      <c r="X166" s="22">
        <f t="shared" si="27"/>
        <v>22</v>
      </c>
      <c r="Y166" s="22">
        <f t="shared" si="27"/>
        <v>23</v>
      </c>
      <c r="Z166" s="22">
        <f t="shared" si="27"/>
        <v>24</v>
      </c>
      <c r="AA166" s="22">
        <f t="shared" si="27"/>
        <v>25</v>
      </c>
      <c r="AB166" s="22">
        <f t="shared" si="27"/>
        <v>26</v>
      </c>
      <c r="AC166" s="22">
        <f t="shared" si="27"/>
        <v>27</v>
      </c>
      <c r="AD166" s="22">
        <f t="shared" si="27"/>
        <v>28</v>
      </c>
      <c r="AE166" s="22">
        <f t="shared" si="27"/>
        <v>29</v>
      </c>
      <c r="AF166" s="22">
        <f t="shared" si="27"/>
        <v>30</v>
      </c>
      <c r="AG166" s="22">
        <f t="shared" si="27"/>
        <v>0</v>
      </c>
    </row>
    <row r="167" spans="1:33" ht="18" x14ac:dyDescent="0.2">
      <c r="A167" s="25"/>
      <c r="B167" s="26"/>
      <c r="C167" s="22" t="str">
        <f>_xlfn.IFNA(IF(OR(C166="",C166=0),"",(VLOOKUP($B167,'น้ำยา-เครื่อง'!$A$14:$AF$23,C166+1,FALSE))),"")</f>
        <v/>
      </c>
      <c r="D167" s="22" t="str">
        <f>_xlfn.IFNA(IF(OR(D166="",D166=0),"",(VLOOKUP($B167,'น้ำยา-เครื่อง'!$A$14:$AF$23,D166+1,FALSE))),"")</f>
        <v/>
      </c>
      <c r="E167" s="22" t="str">
        <f>_xlfn.IFNA(IF(OR(E166="",E166=0),"",(VLOOKUP($B167,'น้ำยา-เครื่อง'!$A$14:$AF$23,E166+1,FALSE))),"")</f>
        <v/>
      </c>
      <c r="F167" s="22" t="str">
        <f>_xlfn.IFNA(IF(OR(F166="",F166=0),"",(VLOOKUP($B167,'น้ำยา-เครื่อง'!$A$14:$AF$23,F166+1,FALSE))),"")</f>
        <v/>
      </c>
      <c r="G167" s="22" t="str">
        <f>_xlfn.IFNA(IF(OR(G166="",G166=0),"",(VLOOKUP($B167,'น้ำยา-เครื่อง'!$A$14:$AF$23,G166+1,FALSE))),"")</f>
        <v/>
      </c>
      <c r="H167" s="22" t="str">
        <f>_xlfn.IFNA(IF(OR(H166="",H166=0),"",(VLOOKUP($B167,'น้ำยา-เครื่อง'!$A$14:$AF$23,H166+1,FALSE))),"")</f>
        <v/>
      </c>
      <c r="I167" s="22" t="str">
        <f>_xlfn.IFNA(IF(OR(I166="",I166=0),"",(VLOOKUP($B167,'น้ำยา-เครื่อง'!$A$14:$AF$23,I166+1,FALSE))),"")</f>
        <v/>
      </c>
      <c r="J167" s="22" t="str">
        <f>_xlfn.IFNA(IF(OR(J166="",J166=0),"",(VLOOKUP($B167,'น้ำยา-เครื่อง'!$A$14:$AF$23,J166+1,FALSE))),"")</f>
        <v/>
      </c>
      <c r="K167" s="22" t="str">
        <f>_xlfn.IFNA(IF(OR(K166="",K166=0),"",(VLOOKUP($B167,'น้ำยา-เครื่อง'!$A$14:$AF$23,K166+1,FALSE))),"")</f>
        <v/>
      </c>
      <c r="L167" s="22" t="str">
        <f>_xlfn.IFNA(IF(OR(L166="",L166=0),"",(VLOOKUP($B167,'น้ำยา-เครื่อง'!$A$14:$AF$23,L166+1,FALSE))),"")</f>
        <v/>
      </c>
      <c r="M167" s="22" t="str">
        <f>_xlfn.IFNA(IF(OR(M166="",M166=0),"",(VLOOKUP($B167,'น้ำยา-เครื่อง'!$A$14:$AF$23,M166+1,FALSE))),"")</f>
        <v/>
      </c>
      <c r="N167" s="22" t="str">
        <f>_xlfn.IFNA(IF(OR(N166="",N166=0),"",(VLOOKUP($B167,'น้ำยา-เครื่อง'!$A$14:$AF$23,N166+1,FALSE))),"")</f>
        <v/>
      </c>
      <c r="O167" s="22" t="str">
        <f>_xlfn.IFNA(IF(OR(O166="",O166=0),"",(VLOOKUP($B167,'น้ำยา-เครื่อง'!$A$14:$AF$23,O166+1,FALSE))),"")</f>
        <v/>
      </c>
      <c r="P167" s="22" t="str">
        <f>_xlfn.IFNA(IF(OR(P166="",P166=0),"",(VLOOKUP($B167,'น้ำยา-เครื่อง'!$A$14:$AF$23,P166+1,FALSE))),"")</f>
        <v/>
      </c>
      <c r="Q167" s="22" t="str">
        <f>_xlfn.IFNA(IF(OR(Q166="",Q166=0),"",(VLOOKUP($B167,'น้ำยา-เครื่อง'!$A$14:$AF$23,Q166+1,FALSE))),"")</f>
        <v/>
      </c>
      <c r="R167" s="22" t="str">
        <f>_xlfn.IFNA(IF(OR(R166="",R166=0),"",(VLOOKUP($B167,'น้ำยา-เครื่อง'!$A$14:$AF$23,R166+1,FALSE))),"")</f>
        <v/>
      </c>
      <c r="S167" s="22" t="str">
        <f>_xlfn.IFNA(IF(OR(S166="",S166=0),"",(VLOOKUP($B167,'น้ำยา-เครื่อง'!$A$14:$AF$23,S166+1,FALSE))),"")</f>
        <v/>
      </c>
      <c r="T167" s="22" t="str">
        <f>_xlfn.IFNA(IF(OR(T166="",T166=0),"",(VLOOKUP($B167,'น้ำยา-เครื่อง'!$A$14:$AF$23,T166+1,FALSE))),"")</f>
        <v/>
      </c>
      <c r="U167" s="22" t="str">
        <f>_xlfn.IFNA(IF(OR(U166="",U166=0),"",(VLOOKUP($B167,'น้ำยา-เครื่อง'!$A$14:$AF$23,U166+1,FALSE))),"")</f>
        <v/>
      </c>
      <c r="V167" s="22" t="str">
        <f>_xlfn.IFNA(IF(OR(V166="",V166=0),"",(VLOOKUP($B167,'น้ำยา-เครื่อง'!$A$14:$AF$23,V166+1,FALSE))),"")</f>
        <v/>
      </c>
      <c r="W167" s="22" t="str">
        <f>_xlfn.IFNA(IF(OR(W166="",W166=0),"",(VLOOKUP($B167,'น้ำยา-เครื่อง'!$A$14:$AF$23,W166+1,FALSE))),"")</f>
        <v/>
      </c>
      <c r="X167" s="22" t="str">
        <f>_xlfn.IFNA(IF(OR(X166="",X166=0),"",(VLOOKUP($B167,'น้ำยา-เครื่อง'!$A$14:$AF$23,X166+1,FALSE))),"")</f>
        <v/>
      </c>
      <c r="Y167" s="22" t="str">
        <f>_xlfn.IFNA(IF(OR(Y166="",Y166=0),"",(VLOOKUP($B167,'น้ำยา-เครื่อง'!$A$14:$AF$23,Y166+1,FALSE))),"")</f>
        <v/>
      </c>
      <c r="Z167" s="22" t="str">
        <f>_xlfn.IFNA(IF(OR(Z166="",Z166=0),"",(VLOOKUP($B167,'น้ำยา-เครื่อง'!$A$14:$AF$23,Z166+1,FALSE))),"")</f>
        <v/>
      </c>
      <c r="AA167" s="22" t="str">
        <f>_xlfn.IFNA(IF(OR(AA166="",AA166=0),"",(VLOOKUP($B167,'น้ำยา-เครื่อง'!$A$14:$AF$23,AA166+1,FALSE))),"")</f>
        <v/>
      </c>
      <c r="AB167" s="22" t="str">
        <f>_xlfn.IFNA(IF(OR(AB166="",AB166=0),"",(VLOOKUP($B167,'น้ำยา-เครื่อง'!$A$14:$AF$23,AB166+1,FALSE))),"")</f>
        <v/>
      </c>
      <c r="AC167" s="22" t="str">
        <f>_xlfn.IFNA(IF(OR(AC166="",AC166=0),"",(VLOOKUP($B167,'น้ำยา-เครื่อง'!$A$14:$AF$23,AC166+1,FALSE))),"")</f>
        <v/>
      </c>
      <c r="AD167" s="22" t="str">
        <f>_xlfn.IFNA(IF(OR(AD166="",AD166=0),"",(VLOOKUP($B167,'น้ำยา-เครื่อง'!$A$14:$AF$23,AD166+1,FALSE))),"")</f>
        <v/>
      </c>
      <c r="AE167" s="22" t="str">
        <f>_xlfn.IFNA(IF(OR(AE166="",AE166=0),"",(VLOOKUP($B167,'น้ำยา-เครื่อง'!$A$14:$AF$23,AE166+1,FALSE))),"")</f>
        <v/>
      </c>
      <c r="AF167" s="22" t="str">
        <f>_xlfn.IFNA(IF(OR(AF166="",AF166=0),"",(VLOOKUP($B167,'น้ำยา-เครื่อง'!$A$14:$AF$23,AF166+1,FALSE))),"")</f>
        <v/>
      </c>
      <c r="AG167" s="22" t="str">
        <f>_xlfn.IFNA(IF(OR(AG166="",AG166=0),"",(VLOOKUP($B167,'น้ำยา-เครื่อง'!$A$14:$AF$23,AG166+1,FALSE))),"")</f>
        <v/>
      </c>
    </row>
    <row r="168" spans="1:33" ht="18.75" customHeight="1" x14ac:dyDescent="0.2">
      <c r="A168" s="70" t="s">
        <v>45</v>
      </c>
      <c r="B168" s="27" t="s">
        <v>5</v>
      </c>
      <c r="C168" s="28"/>
      <c r="D168" s="28"/>
      <c r="E168" s="28"/>
      <c r="F168" s="28"/>
      <c r="G168" s="29"/>
      <c r="H168" s="28"/>
      <c r="I168" s="28"/>
      <c r="J168" s="28"/>
      <c r="K168" s="29"/>
      <c r="L168" s="28"/>
      <c r="M168" s="28"/>
      <c r="N168" s="28"/>
      <c r="O168" s="28"/>
      <c r="P168" s="29"/>
      <c r="Q168" s="28"/>
      <c r="R168" s="28"/>
      <c r="S168" s="28"/>
      <c r="T168" s="29"/>
      <c r="U168" s="28"/>
      <c r="V168" s="28"/>
      <c r="W168" s="28"/>
      <c r="X168" s="28"/>
      <c r="Y168" s="29"/>
      <c r="Z168" s="28"/>
      <c r="AA168" s="28"/>
      <c r="AB168" s="22"/>
      <c r="AC168" s="29"/>
      <c r="AD168" s="28"/>
      <c r="AE168" s="28"/>
      <c r="AF168" s="22"/>
      <c r="AG168" s="29"/>
    </row>
    <row r="169" spans="1:33" ht="18" x14ac:dyDescent="0.2">
      <c r="A169" s="70"/>
      <c r="B169" s="27" t="s">
        <v>6</v>
      </c>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row>
    <row r="170" spans="1:33" ht="18" x14ac:dyDescent="0.2">
      <c r="A170" s="70"/>
      <c r="B170" s="27"/>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row>
    <row r="171" spans="1:33" ht="18.75" customHeight="1" x14ac:dyDescent="0.2">
      <c r="A171" s="70"/>
      <c r="B171" s="27" t="s">
        <v>5</v>
      </c>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2"/>
      <c r="AC171" s="28"/>
      <c r="AD171" s="28"/>
      <c r="AE171" s="28"/>
      <c r="AF171" s="22"/>
      <c r="AG171" s="28"/>
    </row>
    <row r="172" spans="1:33" ht="18" x14ac:dyDescent="0.2">
      <c r="A172" s="70"/>
      <c r="B172" s="27" t="s">
        <v>6</v>
      </c>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row>
    <row r="173" spans="1:33" ht="18" x14ac:dyDescent="0.2">
      <c r="A173" s="70"/>
      <c r="B173" s="27"/>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row>
    <row r="174" spans="1:33" ht="18" x14ac:dyDescent="0.2">
      <c r="A174" s="70"/>
      <c r="B174" s="27" t="s">
        <v>5</v>
      </c>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2"/>
      <c r="AC174" s="28"/>
      <c r="AD174" s="28"/>
      <c r="AE174" s="28"/>
      <c r="AF174" s="22"/>
      <c r="AG174" s="28"/>
    </row>
    <row r="175" spans="1:33" ht="18" x14ac:dyDescent="0.2">
      <c r="A175" s="70"/>
      <c r="B175" s="27" t="s">
        <v>6</v>
      </c>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row>
    <row r="176" spans="1:33" ht="18" x14ac:dyDescent="0.2">
      <c r="A176" s="70"/>
      <c r="B176" s="27"/>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row>
    <row r="177" spans="1:33" ht="18" x14ac:dyDescent="0.4">
      <c r="A177" s="4" t="s">
        <v>219</v>
      </c>
      <c r="B177" s="4"/>
      <c r="C177" s="4"/>
      <c r="D177" s="4"/>
      <c r="E177" s="4"/>
      <c r="F177" s="4"/>
      <c r="G177" s="4"/>
      <c r="H177" s="4"/>
      <c r="I177" s="4"/>
      <c r="J177" s="4"/>
      <c r="K177" s="4"/>
      <c r="L177" s="4"/>
      <c r="M177" s="4"/>
      <c r="N177" s="4"/>
      <c r="O177" s="4"/>
      <c r="P177" s="4"/>
      <c r="Q177" s="4"/>
      <c r="R177" s="4"/>
      <c r="S177" s="4"/>
      <c r="T177" s="4"/>
      <c r="U177" s="10"/>
      <c r="V177" s="10"/>
      <c r="W177" s="71" t="s">
        <v>186</v>
      </c>
      <c r="X177" s="71"/>
      <c r="Y177" s="71"/>
      <c r="Z177" s="71"/>
      <c r="AA177" s="71"/>
      <c r="AB177" s="71"/>
      <c r="AC177" s="71"/>
      <c r="AD177" s="10"/>
      <c r="AE177" s="10"/>
      <c r="AF177" s="10"/>
      <c r="AG177" s="10"/>
    </row>
    <row r="178" spans="1:33" ht="18" x14ac:dyDescent="0.4">
      <c r="A178" s="7"/>
      <c r="B178" s="7"/>
      <c r="C178" s="7"/>
      <c r="D178" s="7"/>
      <c r="E178" s="7"/>
      <c r="F178" s="7"/>
      <c r="G178" s="7"/>
      <c r="H178" s="7"/>
      <c r="I178" s="7"/>
      <c r="J178" s="7"/>
      <c r="K178" s="7"/>
      <c r="L178" s="7"/>
      <c r="M178" s="7"/>
      <c r="N178" s="7"/>
      <c r="O178" s="7"/>
      <c r="P178" s="7"/>
      <c r="Q178" s="7"/>
      <c r="R178" s="7"/>
      <c r="S178" s="7"/>
      <c r="T178" s="7"/>
      <c r="U178" s="38"/>
      <c r="V178" s="38"/>
      <c r="W178" s="7"/>
      <c r="X178" s="7"/>
      <c r="Y178" s="7"/>
      <c r="Z178" s="7"/>
      <c r="AA178" s="7"/>
      <c r="AB178" s="7"/>
      <c r="AC178" s="7"/>
      <c r="AD178" s="7"/>
      <c r="AE178" s="7"/>
      <c r="AF178" s="7"/>
      <c r="AG178" s="7"/>
    </row>
    <row r="179" spans="1:33" ht="18" x14ac:dyDescent="0.4">
      <c r="A179" s="9"/>
      <c r="B179" s="9"/>
      <c r="C179" s="9"/>
      <c r="D179" s="9"/>
      <c r="E179" s="9"/>
      <c r="F179" s="9"/>
      <c r="G179" s="9"/>
      <c r="H179" s="9"/>
      <c r="I179" s="9"/>
      <c r="J179" s="9"/>
      <c r="K179" s="9"/>
      <c r="L179" s="9"/>
      <c r="M179" s="9"/>
      <c r="N179" s="9"/>
      <c r="O179" s="9"/>
      <c r="P179" s="72" t="s">
        <v>28</v>
      </c>
      <c r="Q179" s="72"/>
      <c r="R179" s="73" t="str">
        <f>R59</f>
        <v>พีรวัส</v>
      </c>
      <c r="S179" s="73"/>
      <c r="T179" s="73"/>
      <c r="U179" s="97" t="s">
        <v>221</v>
      </c>
      <c r="V179" s="97"/>
      <c r="W179" s="73" t="str">
        <f>W59</f>
        <v>วรพงศ์</v>
      </c>
      <c r="X179" s="73"/>
      <c r="Y179" s="73"/>
      <c r="Z179" s="8" t="s">
        <v>29</v>
      </c>
      <c r="AA179" s="74">
        <f>AA59</f>
        <v>46204</v>
      </c>
      <c r="AB179" s="74"/>
      <c r="AC179" s="74"/>
      <c r="AD179" s="9"/>
      <c r="AE179" s="73"/>
      <c r="AF179" s="73"/>
      <c r="AG179" s="73"/>
    </row>
    <row r="181" spans="1:33" ht="23.25" x14ac:dyDescent="0.5">
      <c r="A181" s="80" t="s">
        <v>210</v>
      </c>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c r="AD181" s="80"/>
      <c r="AE181" s="80"/>
      <c r="AF181" s="80"/>
      <c r="AG181" s="80"/>
    </row>
    <row r="182" spans="1:33" s="1" customFormat="1" ht="21" x14ac:dyDescent="0.45">
      <c r="A182" s="6" t="s">
        <v>22</v>
      </c>
      <c r="B182" s="81" t="s">
        <v>46</v>
      </c>
      <c r="C182" s="81"/>
      <c r="D182" s="81"/>
      <c r="E182" s="81"/>
      <c r="F182" s="81"/>
      <c r="G182" s="81"/>
      <c r="H182" s="6" t="s">
        <v>24</v>
      </c>
      <c r="I182" s="81" t="s">
        <v>47</v>
      </c>
      <c r="J182" s="81"/>
      <c r="K182" s="81"/>
      <c r="L182" s="81"/>
      <c r="M182" s="83" t="s">
        <v>25</v>
      </c>
      <c r="N182" s="83"/>
      <c r="O182" s="81" t="s">
        <v>48</v>
      </c>
      <c r="P182" s="81"/>
      <c r="Q182" s="81"/>
      <c r="R182" s="81"/>
      <c r="S182" s="81"/>
      <c r="T182" s="6" t="s">
        <v>20</v>
      </c>
      <c r="U182" s="101">
        <f>$U$2</f>
        <v>2569</v>
      </c>
      <c r="V182" s="101"/>
      <c r="W182" s="83" t="s">
        <v>35</v>
      </c>
      <c r="X182" s="83"/>
      <c r="Y182" s="83"/>
      <c r="Z182" s="1" t="s">
        <v>285</v>
      </c>
    </row>
    <row r="183" spans="1:33" ht="18.75" customHeight="1" x14ac:dyDescent="0.2">
      <c r="A183" s="20" t="s">
        <v>0</v>
      </c>
      <c r="B183" s="21" t="s">
        <v>2</v>
      </c>
      <c r="C183" s="98" t="str">
        <f>C123</f>
        <v>เดือน กรกฏาคม</v>
      </c>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row>
    <row r="184" spans="1:33" ht="18" x14ac:dyDescent="0.2">
      <c r="A184" s="23" t="s">
        <v>1</v>
      </c>
      <c r="B184" s="24" t="s">
        <v>3</v>
      </c>
      <c r="C184" s="22">
        <f>C124</f>
        <v>1</v>
      </c>
      <c r="D184" s="22">
        <f>D124</f>
        <v>2</v>
      </c>
      <c r="E184" s="22">
        <f t="shared" ref="E184:AG184" si="28">E124</f>
        <v>3</v>
      </c>
      <c r="F184" s="22">
        <f t="shared" si="28"/>
        <v>4</v>
      </c>
      <c r="G184" s="22">
        <f t="shared" si="28"/>
        <v>5</v>
      </c>
      <c r="H184" s="22">
        <f t="shared" si="28"/>
        <v>6</v>
      </c>
      <c r="I184" s="22">
        <f t="shared" si="28"/>
        <v>7</v>
      </c>
      <c r="J184" s="22">
        <f t="shared" si="28"/>
        <v>8</v>
      </c>
      <c r="K184" s="22">
        <f t="shared" si="28"/>
        <v>9</v>
      </c>
      <c r="L184" s="22">
        <f t="shared" si="28"/>
        <v>10</v>
      </c>
      <c r="M184" s="22">
        <f t="shared" si="28"/>
        <v>11</v>
      </c>
      <c r="N184" s="22">
        <f t="shared" si="28"/>
        <v>12</v>
      </c>
      <c r="O184" s="22">
        <f t="shared" si="28"/>
        <v>13</v>
      </c>
      <c r="P184" s="22">
        <f t="shared" si="28"/>
        <v>14</v>
      </c>
      <c r="Q184" s="22">
        <f t="shared" si="28"/>
        <v>15</v>
      </c>
      <c r="R184" s="22">
        <f t="shared" si="28"/>
        <v>16</v>
      </c>
      <c r="S184" s="22">
        <f t="shared" si="28"/>
        <v>17</v>
      </c>
      <c r="T184" s="22">
        <f t="shared" si="28"/>
        <v>18</v>
      </c>
      <c r="U184" s="22">
        <f t="shared" si="28"/>
        <v>19</v>
      </c>
      <c r="V184" s="22">
        <f t="shared" si="28"/>
        <v>20</v>
      </c>
      <c r="W184" s="22">
        <f t="shared" si="28"/>
        <v>21</v>
      </c>
      <c r="X184" s="22">
        <f t="shared" si="28"/>
        <v>22</v>
      </c>
      <c r="Y184" s="22">
        <f t="shared" si="28"/>
        <v>23</v>
      </c>
      <c r="Z184" s="22">
        <f t="shared" si="28"/>
        <v>24</v>
      </c>
      <c r="AA184" s="22">
        <f t="shared" si="28"/>
        <v>25</v>
      </c>
      <c r="AB184" s="22">
        <f t="shared" si="28"/>
        <v>26</v>
      </c>
      <c r="AC184" s="22">
        <f t="shared" si="28"/>
        <v>27</v>
      </c>
      <c r="AD184" s="22">
        <f t="shared" si="28"/>
        <v>28</v>
      </c>
      <c r="AE184" s="22">
        <f t="shared" si="28"/>
        <v>29</v>
      </c>
      <c r="AF184" s="22">
        <f t="shared" si="28"/>
        <v>30</v>
      </c>
      <c r="AG184" s="22">
        <f t="shared" si="28"/>
        <v>31</v>
      </c>
    </row>
    <row r="185" spans="1:33" ht="18" x14ac:dyDescent="0.2">
      <c r="A185" s="25"/>
      <c r="B185" s="26"/>
      <c r="C185" s="22" t="str">
        <f>_xlfn.IFNA(IF(OR(C184="",C184=0),"",(VLOOKUP(B185,'น้ำยา-เครื่อง'!$A:$AF,C184+1,FALSE))),"")</f>
        <v/>
      </c>
      <c r="D185" s="22" t="str">
        <f>_xlfn.IFNA(IF(OR(D184="",D184=0),"",(VLOOKUP(B185,'น้ำยา-เครื่อง'!$A:$AF,D184+1,FALSE))),"")</f>
        <v/>
      </c>
      <c r="E185" s="22" t="str">
        <f>_xlfn.IFNA(IF(OR(E184="",E184=0),"",(VLOOKUP(B185,'น้ำยา-เครื่อง'!$A:$AF,E184+1,FALSE))),"")</f>
        <v/>
      </c>
      <c r="F185" s="22" t="str">
        <f>_xlfn.IFNA(IF(OR(F184="",F184=0),"",(VLOOKUP(B185,'น้ำยา-เครื่อง'!$A:$AF,F184+1,FALSE))),"")</f>
        <v/>
      </c>
      <c r="G185" s="22" t="str">
        <f>_xlfn.IFNA(IF(OR(G184="",G184=0),"",(VLOOKUP(B185,'น้ำยา-เครื่อง'!$A:$AF,G184+1,FALSE))),"")</f>
        <v/>
      </c>
      <c r="H185" s="22" t="str">
        <f>_xlfn.IFNA(IF(OR(H184="",H184=0),"",(VLOOKUP(B185,'น้ำยา-เครื่อง'!$A:$AF,H184+1,FALSE))),"")</f>
        <v/>
      </c>
      <c r="I185" s="22" t="str">
        <f>_xlfn.IFNA(IF(OR(I184="",I184=0),"",(VLOOKUP(B185,'น้ำยา-เครื่อง'!$A:$AF,I184+1,FALSE))),"")</f>
        <v/>
      </c>
      <c r="J185" s="22" t="str">
        <f>_xlfn.IFNA(IF(OR(J184="",J184=0),"",(VLOOKUP(B185,'น้ำยา-เครื่อง'!$A:$AF,J184+1,FALSE))),"")</f>
        <v/>
      </c>
      <c r="K185" s="22" t="str">
        <f>_xlfn.IFNA(IF(OR(K184="",K184=0),"",(VLOOKUP(B185,'น้ำยา-เครื่อง'!$A:$AF,K184+1,FALSE))),"")</f>
        <v/>
      </c>
      <c r="L185" s="22" t="str">
        <f>_xlfn.IFNA(IF(OR(L184="",L184=0),"",(VLOOKUP(B185,'น้ำยา-เครื่อง'!$A:$AF,L184+1,FALSE))),"")</f>
        <v/>
      </c>
      <c r="M185" s="22" t="str">
        <f>_xlfn.IFNA(IF(OR(M184="",M184=0),"",(VLOOKUP(B185,'น้ำยา-เครื่อง'!$A:$AF,M184+1,FALSE))),"")</f>
        <v/>
      </c>
      <c r="N185" s="22" t="str">
        <f>_xlfn.IFNA(IF(OR(N184="",N184=0),"",(VLOOKUP(B185,'น้ำยา-เครื่อง'!$A:$AF,N184+1,FALSE))),"")</f>
        <v/>
      </c>
      <c r="O185" s="22" t="str">
        <f>_xlfn.IFNA(IF(OR(O184="",O184=0),"",(VLOOKUP(B185,'น้ำยา-เครื่อง'!$A:$AF,O184+1,FALSE))),"")</f>
        <v/>
      </c>
      <c r="P185" s="22" t="str">
        <f>_xlfn.IFNA(IF(OR(P184="",P184=0),"",(VLOOKUP(B185,'น้ำยา-เครื่อง'!$A:$AF,P184+1,FALSE))),"")</f>
        <v/>
      </c>
      <c r="Q185" s="22" t="str">
        <f>_xlfn.IFNA(IF(OR(Q184="",Q184=0),"",(VLOOKUP(B185,'น้ำยา-เครื่อง'!$A:$AF,Q184+1,FALSE))),"")</f>
        <v/>
      </c>
      <c r="R185" s="22" t="str">
        <f>_xlfn.IFNA(IF(OR(R184="",R184=0),"",(VLOOKUP(B185,'น้ำยา-เครื่อง'!$A:$AF,R184+1,FALSE))),"")</f>
        <v/>
      </c>
      <c r="S185" s="22" t="str">
        <f>_xlfn.IFNA(IF(OR(S184="",S184=0),"",(VLOOKUP(B185,'น้ำยา-เครื่อง'!$A:$AF,S184+1,FALSE))),"")</f>
        <v/>
      </c>
      <c r="T185" s="22" t="str">
        <f>_xlfn.IFNA(IF(OR(T184="",T184=0),"",(VLOOKUP(B185,'น้ำยา-เครื่อง'!$A:$AF,T184+1,FALSE))),"")</f>
        <v/>
      </c>
      <c r="U185" s="22" t="str">
        <f>_xlfn.IFNA(IF(OR(U184="",U184=0),"",(VLOOKUP(B185,'น้ำยา-เครื่อง'!$A:$AF,U184+1,FALSE))),"")</f>
        <v/>
      </c>
      <c r="V185" s="22" t="str">
        <f>_xlfn.IFNA(IF(OR(V184="",V184=0),"",(VLOOKUP(B185,'น้ำยา-เครื่อง'!$A:$AF,V184+1,FALSE))),"")</f>
        <v/>
      </c>
      <c r="W185" s="22" t="str">
        <f>_xlfn.IFNA(IF(OR(W184="",W184=0),"",(VLOOKUP(B185,'น้ำยา-เครื่อง'!$A:$AF,W184+1,FALSE))),"")</f>
        <v/>
      </c>
      <c r="X185" s="22" t="str">
        <f>_xlfn.IFNA(IF(OR(X184="",X184=0),"",(VLOOKUP(B185,'น้ำยา-เครื่อง'!$A:$AF,X184+1,FALSE))),"")</f>
        <v/>
      </c>
      <c r="Y185" s="22" t="str">
        <f>_xlfn.IFNA(IF(OR(Y184="",Y184=0),"",(VLOOKUP(B185,'น้ำยา-เครื่อง'!$A:$AF,Y184+1,FALSE))),"")</f>
        <v/>
      </c>
      <c r="Z185" s="22" t="str">
        <f>_xlfn.IFNA(IF(OR(Z184="",Z184=0),"",(VLOOKUP(B185,'น้ำยา-เครื่อง'!$A:$AF,Z184+1,FALSE))),"")</f>
        <v/>
      </c>
      <c r="AA185" s="22" t="str">
        <f>_xlfn.IFNA(IF(OR(AA184="",AA184=0),"",(VLOOKUP(B185,'น้ำยา-เครื่อง'!$A:$AF,AA184+1,FALSE))),"")</f>
        <v/>
      </c>
      <c r="AB185" s="22" t="str">
        <f>_xlfn.IFNA(IF(OR(AB184="",AB184=0),"",(VLOOKUP(B185,'น้ำยา-เครื่อง'!$A:$AF,AB184+1,FALSE))),"")</f>
        <v/>
      </c>
      <c r="AC185" s="22" t="str">
        <f>_xlfn.IFNA(IF(OR(AC184="",AC184=0),"",(VLOOKUP(B185,'น้ำยา-เครื่อง'!$A:$AF,AC184+1,FALSE))),"")</f>
        <v/>
      </c>
      <c r="AD185" s="22" t="str">
        <f>_xlfn.IFNA(IF(OR(AD184="",AD184=0),"",(VLOOKUP(B185,'น้ำยา-เครื่อง'!$A:$AF,AD184+1,FALSE))),"")</f>
        <v/>
      </c>
      <c r="AE185" s="22" t="str">
        <f>_xlfn.IFNA(IF(OR(AE184="",AE184=0),"",(VLOOKUP(B185,'น้ำยา-เครื่อง'!$A:$AF,AE184+1,FALSE))),"")</f>
        <v/>
      </c>
      <c r="AF185" s="22" t="str">
        <f>_xlfn.IFNA(IF(OR(AF184="",AF184=0),"",(VLOOKUP(B185,'น้ำยา-เครื่อง'!$A:$AF,AF184+1,FALSE))),"")</f>
        <v/>
      </c>
      <c r="AG185" s="22" t="str">
        <f>_xlfn.IFNA(IF(OR(AG184="",AG184=0),"",(VLOOKUP(B185,'น้ำยา-เครื่อง'!$A:$AF,AG184+1,FALSE))),"")</f>
        <v/>
      </c>
    </row>
    <row r="186" spans="1:33" ht="18.75" customHeight="1" x14ac:dyDescent="0.2">
      <c r="A186" s="70" t="s">
        <v>49</v>
      </c>
      <c r="B186" s="27" t="s">
        <v>5</v>
      </c>
      <c r="C186" s="28" t="str">
        <f t="shared" ref="C186:AG186" si="29">IF(C96="","",C96)</f>
        <v>O</v>
      </c>
      <c r="D186" s="28" t="str">
        <f t="shared" si="29"/>
        <v/>
      </c>
      <c r="E186" s="28" t="str">
        <f t="shared" si="29"/>
        <v/>
      </c>
      <c r="F186" s="28" t="str">
        <f t="shared" si="29"/>
        <v/>
      </c>
      <c r="G186" s="28" t="str">
        <f t="shared" si="29"/>
        <v/>
      </c>
      <c r="H186" s="28" t="str">
        <f>IF(H96="","",H96)</f>
        <v/>
      </c>
      <c r="I186" s="28" t="str">
        <f t="shared" si="29"/>
        <v>O</v>
      </c>
      <c r="J186" s="28" t="str">
        <f t="shared" si="29"/>
        <v>O</v>
      </c>
      <c r="K186" s="28" t="str">
        <f t="shared" si="29"/>
        <v>O</v>
      </c>
      <c r="L186" s="28" t="str">
        <f t="shared" si="29"/>
        <v/>
      </c>
      <c r="M186" s="28" t="str">
        <f t="shared" si="29"/>
        <v/>
      </c>
      <c r="N186" s="28" t="str">
        <f t="shared" si="29"/>
        <v/>
      </c>
      <c r="O186" s="28" t="str">
        <f t="shared" si="29"/>
        <v/>
      </c>
      <c r="P186" s="28" t="str">
        <f t="shared" si="29"/>
        <v>O</v>
      </c>
      <c r="Q186" s="28" t="str">
        <f t="shared" si="29"/>
        <v>O</v>
      </c>
      <c r="R186" s="28" t="str">
        <f t="shared" si="29"/>
        <v>O</v>
      </c>
      <c r="S186" s="28" t="str">
        <f t="shared" si="29"/>
        <v/>
      </c>
      <c r="T186" s="28" t="str">
        <f t="shared" si="29"/>
        <v/>
      </c>
      <c r="U186" s="28" t="str">
        <f t="shared" si="29"/>
        <v/>
      </c>
      <c r="V186" s="28" t="str">
        <f t="shared" si="29"/>
        <v/>
      </c>
      <c r="W186" s="28" t="str">
        <f t="shared" si="29"/>
        <v>O</v>
      </c>
      <c r="X186" s="28" t="str">
        <f t="shared" si="29"/>
        <v>O</v>
      </c>
      <c r="Y186" s="28" t="str">
        <f t="shared" si="29"/>
        <v>O</v>
      </c>
      <c r="Z186" s="28" t="str">
        <f t="shared" si="29"/>
        <v/>
      </c>
      <c r="AA186" s="28" t="str">
        <f t="shared" si="29"/>
        <v/>
      </c>
      <c r="AB186" s="28" t="str">
        <f t="shared" si="29"/>
        <v/>
      </c>
      <c r="AC186" s="28" t="str">
        <f t="shared" si="29"/>
        <v/>
      </c>
      <c r="AD186" s="28" t="str">
        <f t="shared" si="29"/>
        <v/>
      </c>
      <c r="AE186" s="28" t="str">
        <f t="shared" si="29"/>
        <v/>
      </c>
      <c r="AF186" s="28" t="str">
        <f t="shared" si="29"/>
        <v/>
      </c>
      <c r="AG186" s="28" t="str">
        <f t="shared" si="29"/>
        <v/>
      </c>
    </row>
    <row r="187" spans="1:33" ht="18" x14ac:dyDescent="0.2">
      <c r="A187" s="70"/>
      <c r="B187" s="27" t="s">
        <v>6</v>
      </c>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row>
    <row r="188" spans="1:33" ht="18" x14ac:dyDescent="0.2">
      <c r="A188" s="70"/>
      <c r="B188" s="27"/>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row>
    <row r="189" spans="1:33" ht="18.75" customHeight="1" x14ac:dyDescent="0.2">
      <c r="A189" s="70" t="s">
        <v>50</v>
      </c>
      <c r="B189" s="27" t="s">
        <v>5</v>
      </c>
      <c r="C189" s="28" t="str">
        <f>C186</f>
        <v>O</v>
      </c>
      <c r="D189" s="28" t="str">
        <f>D186</f>
        <v/>
      </c>
      <c r="E189" s="28" t="str">
        <f t="shared" ref="E189:AG189" si="30">E186</f>
        <v/>
      </c>
      <c r="F189" s="28" t="str">
        <f t="shared" si="30"/>
        <v/>
      </c>
      <c r="G189" s="28" t="str">
        <f>G186</f>
        <v/>
      </c>
      <c r="H189" s="28" t="str">
        <f t="shared" si="30"/>
        <v/>
      </c>
      <c r="I189" s="28" t="str">
        <f t="shared" si="30"/>
        <v>O</v>
      </c>
      <c r="J189" s="28" t="str">
        <f t="shared" si="30"/>
        <v>O</v>
      </c>
      <c r="K189" s="28" t="str">
        <f t="shared" si="30"/>
        <v>O</v>
      </c>
      <c r="L189" s="28" t="str">
        <f t="shared" si="30"/>
        <v/>
      </c>
      <c r="M189" s="28" t="str">
        <f t="shared" si="30"/>
        <v/>
      </c>
      <c r="N189" s="28" t="str">
        <f t="shared" si="30"/>
        <v/>
      </c>
      <c r="O189" s="28" t="str">
        <f t="shared" si="30"/>
        <v/>
      </c>
      <c r="P189" s="28" t="str">
        <f t="shared" si="30"/>
        <v>O</v>
      </c>
      <c r="Q189" s="28" t="str">
        <f t="shared" si="30"/>
        <v>O</v>
      </c>
      <c r="R189" s="28" t="str">
        <f t="shared" si="30"/>
        <v>O</v>
      </c>
      <c r="S189" s="28" t="str">
        <f t="shared" si="30"/>
        <v/>
      </c>
      <c r="T189" s="28" t="str">
        <f t="shared" si="30"/>
        <v/>
      </c>
      <c r="U189" s="28" t="str">
        <f t="shared" si="30"/>
        <v/>
      </c>
      <c r="V189" s="28" t="str">
        <f t="shared" si="30"/>
        <v/>
      </c>
      <c r="W189" s="28" t="str">
        <f t="shared" si="30"/>
        <v>O</v>
      </c>
      <c r="X189" s="28" t="str">
        <f t="shared" si="30"/>
        <v>O</v>
      </c>
      <c r="Y189" s="28" t="str">
        <f t="shared" si="30"/>
        <v>O</v>
      </c>
      <c r="Z189" s="28" t="str">
        <f t="shared" si="30"/>
        <v/>
      </c>
      <c r="AA189" s="28" t="str">
        <f t="shared" si="30"/>
        <v/>
      </c>
      <c r="AB189" s="28" t="str">
        <f t="shared" si="30"/>
        <v/>
      </c>
      <c r="AC189" s="28" t="str">
        <f t="shared" si="30"/>
        <v/>
      </c>
      <c r="AD189" s="28" t="str">
        <f t="shared" si="30"/>
        <v/>
      </c>
      <c r="AE189" s="28" t="str">
        <f t="shared" si="30"/>
        <v/>
      </c>
      <c r="AF189" s="28" t="str">
        <f t="shared" si="30"/>
        <v/>
      </c>
      <c r="AG189" s="28" t="str">
        <f t="shared" si="30"/>
        <v/>
      </c>
    </row>
    <row r="190" spans="1:33" ht="18" x14ac:dyDescent="0.2">
      <c r="A190" s="70"/>
      <c r="B190" s="27" t="s">
        <v>6</v>
      </c>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row>
    <row r="191" spans="1:33" ht="18" x14ac:dyDescent="0.2">
      <c r="A191" s="70"/>
      <c r="B191" s="27"/>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row>
    <row r="192" spans="1:33" ht="18" x14ac:dyDescent="0.2">
      <c r="A192" s="70"/>
      <c r="B192" s="27" t="s">
        <v>5</v>
      </c>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row>
    <row r="193" spans="1:33" ht="18" x14ac:dyDescent="0.2">
      <c r="A193" s="70"/>
      <c r="B193" s="27" t="s">
        <v>6</v>
      </c>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row>
    <row r="194" spans="1:33" ht="18" x14ac:dyDescent="0.2">
      <c r="A194" s="70"/>
      <c r="B194" s="27"/>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row>
    <row r="195" spans="1:33" ht="18.75" customHeight="1" x14ac:dyDescent="0.2">
      <c r="A195" s="20" t="s">
        <v>0</v>
      </c>
      <c r="B195" s="21" t="s">
        <v>2</v>
      </c>
      <c r="C195" s="98" t="str">
        <f>C135</f>
        <v>เดือน สิงหาคม</v>
      </c>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row>
    <row r="196" spans="1:33" ht="18" x14ac:dyDescent="0.2">
      <c r="A196" s="23" t="s">
        <v>1</v>
      </c>
      <c r="B196" s="24" t="s">
        <v>3</v>
      </c>
      <c r="C196" s="22">
        <f>C136</f>
        <v>1</v>
      </c>
      <c r="D196" s="22">
        <f>D136</f>
        <v>2</v>
      </c>
      <c r="E196" s="22">
        <f t="shared" ref="E196:AG196" si="31">E136</f>
        <v>3</v>
      </c>
      <c r="F196" s="22">
        <f t="shared" si="31"/>
        <v>4</v>
      </c>
      <c r="G196" s="22">
        <f t="shared" si="31"/>
        <v>5</v>
      </c>
      <c r="H196" s="22">
        <f t="shared" si="31"/>
        <v>6</v>
      </c>
      <c r="I196" s="22">
        <f t="shared" si="31"/>
        <v>7</v>
      </c>
      <c r="J196" s="22">
        <f t="shared" si="31"/>
        <v>8</v>
      </c>
      <c r="K196" s="22">
        <f t="shared" si="31"/>
        <v>9</v>
      </c>
      <c r="L196" s="22">
        <f t="shared" si="31"/>
        <v>10</v>
      </c>
      <c r="M196" s="22">
        <f t="shared" si="31"/>
        <v>11</v>
      </c>
      <c r="N196" s="22">
        <f t="shared" si="31"/>
        <v>12</v>
      </c>
      <c r="O196" s="22">
        <f t="shared" si="31"/>
        <v>13</v>
      </c>
      <c r="P196" s="22">
        <f t="shared" si="31"/>
        <v>14</v>
      </c>
      <c r="Q196" s="22">
        <f t="shared" si="31"/>
        <v>15</v>
      </c>
      <c r="R196" s="22">
        <f t="shared" si="31"/>
        <v>16</v>
      </c>
      <c r="S196" s="22">
        <f t="shared" si="31"/>
        <v>17</v>
      </c>
      <c r="T196" s="22">
        <f t="shared" si="31"/>
        <v>18</v>
      </c>
      <c r="U196" s="22">
        <f t="shared" si="31"/>
        <v>19</v>
      </c>
      <c r="V196" s="22">
        <f t="shared" si="31"/>
        <v>20</v>
      </c>
      <c r="W196" s="22">
        <f t="shared" si="31"/>
        <v>21</v>
      </c>
      <c r="X196" s="22">
        <f t="shared" si="31"/>
        <v>22</v>
      </c>
      <c r="Y196" s="22">
        <f t="shared" si="31"/>
        <v>23</v>
      </c>
      <c r="Z196" s="22">
        <f t="shared" si="31"/>
        <v>24</v>
      </c>
      <c r="AA196" s="22">
        <f t="shared" si="31"/>
        <v>25</v>
      </c>
      <c r="AB196" s="22">
        <f t="shared" si="31"/>
        <v>26</v>
      </c>
      <c r="AC196" s="22">
        <f t="shared" si="31"/>
        <v>27</v>
      </c>
      <c r="AD196" s="22">
        <f t="shared" si="31"/>
        <v>28</v>
      </c>
      <c r="AE196" s="22">
        <f t="shared" si="31"/>
        <v>29</v>
      </c>
      <c r="AF196" s="22">
        <f t="shared" si="31"/>
        <v>30</v>
      </c>
      <c r="AG196" s="22">
        <f t="shared" si="31"/>
        <v>0</v>
      </c>
    </row>
    <row r="197" spans="1:33" ht="18" x14ac:dyDescent="0.2">
      <c r="A197" s="25"/>
      <c r="B197" s="26"/>
      <c r="C197" s="22" t="str">
        <f>_xlfn.IFNA(IF(OR(C196="",C196=0),"",(VLOOKUP($B197,'น้ำยา-เครื่อง'!$A$14:$AF$23,C196+1,FALSE))),"")</f>
        <v/>
      </c>
      <c r="D197" s="22" t="str">
        <f>_xlfn.IFNA(IF(OR(D196="",D196=0),"",(VLOOKUP($B197,'น้ำยา-เครื่อง'!$A$14:$AF$23,D196+1,FALSE))),"")</f>
        <v/>
      </c>
      <c r="E197" s="22" t="str">
        <f>_xlfn.IFNA(IF(OR(E196="",E196=0),"",(VLOOKUP($B197,'น้ำยา-เครื่อง'!$A$14:$AF$23,E196+1,FALSE))),"")</f>
        <v/>
      </c>
      <c r="F197" s="22" t="str">
        <f>_xlfn.IFNA(IF(OR(F196="",F196=0),"",(VLOOKUP($B197,'น้ำยา-เครื่อง'!$A$14:$AF$23,F196+1,FALSE))),"")</f>
        <v/>
      </c>
      <c r="G197" s="22" t="str">
        <f>_xlfn.IFNA(IF(OR(G196="",G196=0),"",(VLOOKUP($B197,'น้ำยา-เครื่อง'!$A$14:$AF$23,G196+1,FALSE))),"")</f>
        <v/>
      </c>
      <c r="H197" s="22" t="str">
        <f>_xlfn.IFNA(IF(OR(H196="",H196=0),"",(VLOOKUP($B197,'น้ำยา-เครื่อง'!$A$14:$AF$23,H196+1,FALSE))),"")</f>
        <v/>
      </c>
      <c r="I197" s="22" t="str">
        <f>_xlfn.IFNA(IF(OR(I196="",I196=0),"",(VLOOKUP($B197,'น้ำยา-เครื่อง'!$A$14:$AF$23,I196+1,FALSE))),"")</f>
        <v/>
      </c>
      <c r="J197" s="22" t="str">
        <f>_xlfn.IFNA(IF(OR(J196="",J196=0),"",(VLOOKUP($B197,'น้ำยา-เครื่อง'!$A$14:$AF$23,J196+1,FALSE))),"")</f>
        <v/>
      </c>
      <c r="K197" s="22" t="str">
        <f>_xlfn.IFNA(IF(OR(K196="",K196=0),"",(VLOOKUP($B197,'น้ำยา-เครื่อง'!$A$14:$AF$23,K196+1,FALSE))),"")</f>
        <v/>
      </c>
      <c r="L197" s="22" t="str">
        <f>_xlfn.IFNA(IF(OR(L196="",L196=0),"",(VLOOKUP($B197,'น้ำยา-เครื่อง'!$A$14:$AF$23,L196+1,FALSE))),"")</f>
        <v/>
      </c>
      <c r="M197" s="22" t="str">
        <f>_xlfn.IFNA(IF(OR(M196="",M196=0),"",(VLOOKUP($B197,'น้ำยา-เครื่อง'!$A$14:$AF$23,M196+1,FALSE))),"")</f>
        <v/>
      </c>
      <c r="N197" s="22" t="str">
        <f>_xlfn.IFNA(IF(OR(N196="",N196=0),"",(VLOOKUP($B197,'น้ำยา-เครื่อง'!$A$14:$AF$23,N196+1,FALSE))),"")</f>
        <v/>
      </c>
      <c r="O197" s="22" t="str">
        <f>_xlfn.IFNA(IF(OR(O196="",O196=0),"",(VLOOKUP($B197,'น้ำยา-เครื่อง'!$A$14:$AF$23,O196+1,FALSE))),"")</f>
        <v/>
      </c>
      <c r="P197" s="22" t="str">
        <f>_xlfn.IFNA(IF(OR(P196="",P196=0),"",(VLOOKUP($B197,'น้ำยา-เครื่อง'!$A$14:$AF$23,P196+1,FALSE))),"")</f>
        <v/>
      </c>
      <c r="Q197" s="22" t="str">
        <f>_xlfn.IFNA(IF(OR(Q196="",Q196=0),"",(VLOOKUP($B197,'น้ำยา-เครื่อง'!$A$14:$AF$23,Q196+1,FALSE))),"")</f>
        <v/>
      </c>
      <c r="R197" s="22" t="str">
        <f>_xlfn.IFNA(IF(OR(R196="",R196=0),"",(VLOOKUP($B197,'น้ำยา-เครื่อง'!$A$14:$AF$23,R196+1,FALSE))),"")</f>
        <v/>
      </c>
      <c r="S197" s="22" t="str">
        <f>_xlfn.IFNA(IF(OR(S196="",S196=0),"",(VLOOKUP($B197,'น้ำยา-เครื่อง'!$A$14:$AF$23,S196+1,FALSE))),"")</f>
        <v/>
      </c>
      <c r="T197" s="22" t="str">
        <f>_xlfn.IFNA(IF(OR(T196="",T196=0),"",(VLOOKUP($B197,'น้ำยา-เครื่อง'!$A$14:$AF$23,T196+1,FALSE))),"")</f>
        <v/>
      </c>
      <c r="U197" s="22" t="str">
        <f>_xlfn.IFNA(IF(OR(U196="",U196=0),"",(VLOOKUP($B197,'น้ำยา-เครื่อง'!$A$14:$AF$23,U196+1,FALSE))),"")</f>
        <v/>
      </c>
      <c r="V197" s="22" t="str">
        <f>_xlfn.IFNA(IF(OR(V196="",V196=0),"",(VLOOKUP($B197,'น้ำยา-เครื่อง'!$A$14:$AF$23,V196+1,FALSE))),"")</f>
        <v/>
      </c>
      <c r="W197" s="22" t="str">
        <f>_xlfn.IFNA(IF(OR(W196="",W196=0),"",(VLOOKUP($B197,'น้ำยา-เครื่อง'!$A$14:$AF$23,W196+1,FALSE))),"")</f>
        <v/>
      </c>
      <c r="X197" s="22" t="str">
        <f>_xlfn.IFNA(IF(OR(X196="",X196=0),"",(VLOOKUP($B197,'น้ำยา-เครื่อง'!$A$14:$AF$23,X196+1,FALSE))),"")</f>
        <v/>
      </c>
      <c r="Y197" s="22" t="str">
        <f>_xlfn.IFNA(IF(OR(Y196="",Y196=0),"",(VLOOKUP($B197,'น้ำยา-เครื่อง'!$A$14:$AF$23,Y196+1,FALSE))),"")</f>
        <v/>
      </c>
      <c r="Z197" s="22" t="str">
        <f>_xlfn.IFNA(IF(OR(Z196="",Z196=0),"",(VLOOKUP($B197,'น้ำยา-เครื่อง'!$A$14:$AF$23,Z196+1,FALSE))),"")</f>
        <v/>
      </c>
      <c r="AA197" s="22" t="str">
        <f>_xlfn.IFNA(IF(OR(AA196="",AA196=0),"",(VLOOKUP($B197,'น้ำยา-เครื่อง'!$A$14:$AF$23,AA196+1,FALSE))),"")</f>
        <v/>
      </c>
      <c r="AB197" s="22" t="str">
        <f>_xlfn.IFNA(IF(OR(AB196="",AB196=0),"",(VLOOKUP($B197,'น้ำยา-เครื่อง'!$A$14:$AF$23,AB196+1,FALSE))),"")</f>
        <v/>
      </c>
      <c r="AC197" s="22" t="str">
        <f>_xlfn.IFNA(IF(OR(AC196="",AC196=0),"",(VLOOKUP($B197,'น้ำยา-เครื่อง'!$A$14:$AF$23,AC196+1,FALSE))),"")</f>
        <v/>
      </c>
      <c r="AD197" s="22" t="str">
        <f>_xlfn.IFNA(IF(OR(AD196="",AD196=0),"",(VLOOKUP($B197,'น้ำยา-เครื่อง'!$A$14:$AF$23,AD196+1,FALSE))),"")</f>
        <v/>
      </c>
      <c r="AE197" s="22" t="str">
        <f>_xlfn.IFNA(IF(OR(AE196="",AE196=0),"",(VLOOKUP($B197,'น้ำยา-เครื่อง'!$A$14:$AF$23,AE196+1,FALSE))),"")</f>
        <v/>
      </c>
      <c r="AF197" s="22" t="str">
        <f>_xlfn.IFNA(IF(OR(AF196="",AF196=0),"",(VLOOKUP($B197,'น้ำยา-เครื่อง'!$A$14:$AF$23,AF196+1,FALSE))),"")</f>
        <v/>
      </c>
      <c r="AG197" s="22" t="str">
        <f>_xlfn.IFNA(IF(OR(AG196="",AG196=0),"",(VLOOKUP($B197,'น้ำยา-เครื่อง'!$A$14:$AF$23,AG196+1,FALSE))),"")</f>
        <v/>
      </c>
    </row>
    <row r="198" spans="1:33" ht="18.75" customHeight="1" x14ac:dyDescent="0.2">
      <c r="A198" s="70" t="s">
        <v>49</v>
      </c>
      <c r="B198" s="27" t="s">
        <v>5</v>
      </c>
      <c r="C198" s="28" t="str">
        <f t="shared" ref="C198:AG198" si="32">IF(C108="","",C108)</f>
        <v/>
      </c>
      <c r="D198" s="28" t="str">
        <f t="shared" si="32"/>
        <v/>
      </c>
      <c r="E198" s="28" t="str">
        <f t="shared" si="32"/>
        <v/>
      </c>
      <c r="F198" s="28" t="str">
        <f t="shared" si="32"/>
        <v>O</v>
      </c>
      <c r="G198" s="28" t="str">
        <f t="shared" si="32"/>
        <v>O</v>
      </c>
      <c r="H198" s="28" t="str">
        <f t="shared" si="32"/>
        <v>O</v>
      </c>
      <c r="I198" s="28" t="str">
        <f t="shared" si="32"/>
        <v/>
      </c>
      <c r="J198" s="28" t="str">
        <f t="shared" si="32"/>
        <v/>
      </c>
      <c r="K198" s="28" t="str">
        <f t="shared" si="32"/>
        <v/>
      </c>
      <c r="L198" s="28" t="str">
        <f t="shared" si="32"/>
        <v/>
      </c>
      <c r="M198" s="28" t="str">
        <f t="shared" si="32"/>
        <v/>
      </c>
      <c r="N198" s="28" t="str">
        <f t="shared" si="32"/>
        <v/>
      </c>
      <c r="O198" s="28" t="str">
        <f t="shared" si="32"/>
        <v>O</v>
      </c>
      <c r="P198" s="28" t="str">
        <f t="shared" si="32"/>
        <v>O</v>
      </c>
      <c r="Q198" s="28" t="str">
        <f t="shared" si="32"/>
        <v/>
      </c>
      <c r="R198" s="28" t="str">
        <f t="shared" si="32"/>
        <v/>
      </c>
      <c r="S198" s="28" t="str">
        <f t="shared" si="32"/>
        <v/>
      </c>
      <c r="T198" s="28" t="str">
        <f t="shared" si="32"/>
        <v>O</v>
      </c>
      <c r="U198" s="28" t="str">
        <f t="shared" si="32"/>
        <v>O</v>
      </c>
      <c r="V198" s="28" t="str">
        <f t="shared" si="32"/>
        <v>O</v>
      </c>
      <c r="W198" s="28" t="str">
        <f t="shared" si="32"/>
        <v/>
      </c>
      <c r="X198" s="28" t="str">
        <f t="shared" si="32"/>
        <v/>
      </c>
      <c r="Y198" s="28" t="str">
        <f t="shared" si="32"/>
        <v/>
      </c>
      <c r="Z198" s="28" t="str">
        <f t="shared" si="32"/>
        <v/>
      </c>
      <c r="AA198" s="28" t="str">
        <f t="shared" si="32"/>
        <v>O</v>
      </c>
      <c r="AB198" s="28" t="str">
        <f t="shared" si="32"/>
        <v>O</v>
      </c>
      <c r="AC198" s="28" t="str">
        <f t="shared" si="32"/>
        <v/>
      </c>
      <c r="AD198" s="28" t="str">
        <f t="shared" si="32"/>
        <v/>
      </c>
      <c r="AE198" s="28" t="str">
        <f t="shared" si="32"/>
        <v/>
      </c>
      <c r="AF198" s="28" t="str">
        <f t="shared" si="32"/>
        <v/>
      </c>
      <c r="AG198" s="28" t="str">
        <f t="shared" si="32"/>
        <v/>
      </c>
    </row>
    <row r="199" spans="1:33" ht="18" x14ac:dyDescent="0.2">
      <c r="A199" s="70"/>
      <c r="B199" s="27" t="s">
        <v>6</v>
      </c>
      <c r="C199" s="28" t="str">
        <f t="shared" ref="C199:AG199" si="33">IF(C109="","",C109)</f>
        <v/>
      </c>
      <c r="D199" s="28" t="str">
        <f t="shared" si="33"/>
        <v/>
      </c>
      <c r="E199" s="28" t="str">
        <f t="shared" si="33"/>
        <v/>
      </c>
      <c r="F199" s="28" t="str">
        <f t="shared" si="33"/>
        <v/>
      </c>
      <c r="G199" s="28" t="str">
        <f t="shared" si="33"/>
        <v/>
      </c>
      <c r="H199" s="28" t="str">
        <f t="shared" si="33"/>
        <v/>
      </c>
      <c r="I199" s="28" t="str">
        <f t="shared" si="33"/>
        <v/>
      </c>
      <c r="J199" s="28" t="str">
        <f t="shared" si="33"/>
        <v/>
      </c>
      <c r="K199" s="28" t="str">
        <f t="shared" si="33"/>
        <v/>
      </c>
      <c r="L199" s="28" t="str">
        <f t="shared" si="33"/>
        <v/>
      </c>
      <c r="M199" s="28" t="str">
        <f t="shared" si="33"/>
        <v/>
      </c>
      <c r="N199" s="28" t="str">
        <f t="shared" si="33"/>
        <v/>
      </c>
      <c r="O199" s="28" t="str">
        <f t="shared" si="33"/>
        <v/>
      </c>
      <c r="P199" s="28" t="str">
        <f t="shared" si="33"/>
        <v/>
      </c>
      <c r="Q199" s="28" t="str">
        <f t="shared" si="33"/>
        <v/>
      </c>
      <c r="R199" s="28" t="str">
        <f t="shared" si="33"/>
        <v/>
      </c>
      <c r="S199" s="28" t="str">
        <f t="shared" si="33"/>
        <v/>
      </c>
      <c r="T199" s="28" t="str">
        <f t="shared" si="33"/>
        <v/>
      </c>
      <c r="U199" s="28" t="str">
        <f t="shared" si="33"/>
        <v/>
      </c>
      <c r="V199" s="28" t="str">
        <f t="shared" si="33"/>
        <v/>
      </c>
      <c r="W199" s="28" t="str">
        <f t="shared" si="33"/>
        <v/>
      </c>
      <c r="X199" s="28" t="str">
        <f t="shared" si="33"/>
        <v/>
      </c>
      <c r="Y199" s="28" t="str">
        <f t="shared" si="33"/>
        <v/>
      </c>
      <c r="Z199" s="28" t="str">
        <f t="shared" si="33"/>
        <v/>
      </c>
      <c r="AA199" s="28" t="str">
        <f t="shared" si="33"/>
        <v/>
      </c>
      <c r="AB199" s="28" t="str">
        <f t="shared" si="33"/>
        <v/>
      </c>
      <c r="AC199" s="28" t="str">
        <f t="shared" si="33"/>
        <v/>
      </c>
      <c r="AD199" s="28" t="str">
        <f t="shared" si="33"/>
        <v/>
      </c>
      <c r="AE199" s="28" t="str">
        <f t="shared" si="33"/>
        <v/>
      </c>
      <c r="AF199" s="28" t="str">
        <f t="shared" si="33"/>
        <v/>
      </c>
      <c r="AG199" s="28" t="str">
        <f t="shared" si="33"/>
        <v/>
      </c>
    </row>
    <row r="200" spans="1:33" ht="18" x14ac:dyDescent="0.2">
      <c r="A200" s="70"/>
      <c r="B200" s="27"/>
      <c r="C200" s="28" t="str">
        <f t="shared" ref="C200:AG200" si="34">IF(C110="","",C110)</f>
        <v/>
      </c>
      <c r="D200" s="28" t="str">
        <f t="shared" si="34"/>
        <v/>
      </c>
      <c r="E200" s="28" t="str">
        <f t="shared" si="34"/>
        <v/>
      </c>
      <c r="F200" s="28" t="str">
        <f t="shared" si="34"/>
        <v/>
      </c>
      <c r="G200" s="28" t="str">
        <f t="shared" si="34"/>
        <v/>
      </c>
      <c r="H200" s="28" t="str">
        <f t="shared" si="34"/>
        <v/>
      </c>
      <c r="I200" s="28" t="str">
        <f t="shared" si="34"/>
        <v/>
      </c>
      <c r="J200" s="28" t="str">
        <f t="shared" si="34"/>
        <v/>
      </c>
      <c r="K200" s="28" t="str">
        <f t="shared" si="34"/>
        <v/>
      </c>
      <c r="L200" s="28" t="str">
        <f t="shared" si="34"/>
        <v/>
      </c>
      <c r="M200" s="28" t="str">
        <f t="shared" si="34"/>
        <v/>
      </c>
      <c r="N200" s="28" t="str">
        <f t="shared" si="34"/>
        <v/>
      </c>
      <c r="O200" s="28" t="str">
        <f t="shared" si="34"/>
        <v/>
      </c>
      <c r="P200" s="28" t="str">
        <f t="shared" si="34"/>
        <v/>
      </c>
      <c r="Q200" s="28" t="str">
        <f t="shared" si="34"/>
        <v/>
      </c>
      <c r="R200" s="28" t="str">
        <f t="shared" si="34"/>
        <v/>
      </c>
      <c r="S200" s="28" t="str">
        <f t="shared" si="34"/>
        <v/>
      </c>
      <c r="T200" s="28" t="str">
        <f t="shared" si="34"/>
        <v/>
      </c>
      <c r="U200" s="28" t="str">
        <f t="shared" si="34"/>
        <v/>
      </c>
      <c r="V200" s="28" t="str">
        <f t="shared" si="34"/>
        <v/>
      </c>
      <c r="W200" s="28" t="str">
        <f t="shared" si="34"/>
        <v/>
      </c>
      <c r="X200" s="28" t="str">
        <f t="shared" si="34"/>
        <v/>
      </c>
      <c r="Y200" s="28" t="str">
        <f t="shared" si="34"/>
        <v/>
      </c>
      <c r="Z200" s="28" t="str">
        <f t="shared" si="34"/>
        <v/>
      </c>
      <c r="AA200" s="28" t="str">
        <f t="shared" si="34"/>
        <v/>
      </c>
      <c r="AB200" s="28" t="str">
        <f t="shared" si="34"/>
        <v/>
      </c>
      <c r="AC200" s="28" t="str">
        <f t="shared" si="34"/>
        <v/>
      </c>
      <c r="AD200" s="28" t="str">
        <f t="shared" si="34"/>
        <v/>
      </c>
      <c r="AE200" s="28" t="str">
        <f t="shared" si="34"/>
        <v/>
      </c>
      <c r="AF200" s="28" t="str">
        <f t="shared" si="34"/>
        <v/>
      </c>
      <c r="AG200" s="28" t="str">
        <f t="shared" si="34"/>
        <v/>
      </c>
    </row>
    <row r="201" spans="1:33" ht="18.75" customHeight="1" x14ac:dyDescent="0.2">
      <c r="A201" s="70" t="s">
        <v>50</v>
      </c>
      <c r="B201" s="27" t="s">
        <v>5</v>
      </c>
      <c r="C201" s="28" t="str">
        <f>C198</f>
        <v/>
      </c>
      <c r="D201" s="28" t="str">
        <f>D198</f>
        <v/>
      </c>
      <c r="E201" s="28" t="str">
        <f t="shared" ref="E201:AG201" si="35">E198</f>
        <v/>
      </c>
      <c r="F201" s="28" t="str">
        <f t="shared" si="35"/>
        <v>O</v>
      </c>
      <c r="G201" s="28" t="str">
        <f t="shared" si="35"/>
        <v>O</v>
      </c>
      <c r="H201" s="28" t="str">
        <f t="shared" si="35"/>
        <v>O</v>
      </c>
      <c r="I201" s="28" t="str">
        <f t="shared" si="35"/>
        <v/>
      </c>
      <c r="J201" s="28" t="str">
        <f t="shared" si="35"/>
        <v/>
      </c>
      <c r="K201" s="28" t="str">
        <f t="shared" si="35"/>
        <v/>
      </c>
      <c r="L201" s="28" t="str">
        <f t="shared" si="35"/>
        <v/>
      </c>
      <c r="M201" s="28" t="str">
        <f t="shared" si="35"/>
        <v/>
      </c>
      <c r="N201" s="28" t="str">
        <f t="shared" si="35"/>
        <v/>
      </c>
      <c r="O201" s="28" t="str">
        <f t="shared" si="35"/>
        <v>O</v>
      </c>
      <c r="P201" s="28" t="str">
        <f t="shared" si="35"/>
        <v>O</v>
      </c>
      <c r="Q201" s="28" t="str">
        <f t="shared" si="35"/>
        <v/>
      </c>
      <c r="R201" s="28" t="str">
        <f t="shared" si="35"/>
        <v/>
      </c>
      <c r="S201" s="28" t="str">
        <f t="shared" si="35"/>
        <v/>
      </c>
      <c r="T201" s="28" t="str">
        <f t="shared" si="35"/>
        <v>O</v>
      </c>
      <c r="U201" s="28" t="str">
        <f t="shared" si="35"/>
        <v>O</v>
      </c>
      <c r="V201" s="28" t="str">
        <f t="shared" si="35"/>
        <v>O</v>
      </c>
      <c r="W201" s="28" t="str">
        <f t="shared" si="35"/>
        <v/>
      </c>
      <c r="X201" s="28" t="str">
        <f t="shared" si="35"/>
        <v/>
      </c>
      <c r="Y201" s="28" t="str">
        <f t="shared" si="35"/>
        <v/>
      </c>
      <c r="Z201" s="28" t="str">
        <f t="shared" si="35"/>
        <v/>
      </c>
      <c r="AA201" s="28" t="str">
        <f t="shared" si="35"/>
        <v>O</v>
      </c>
      <c r="AB201" s="28" t="str">
        <f t="shared" si="35"/>
        <v>O</v>
      </c>
      <c r="AC201" s="28" t="str">
        <f t="shared" si="35"/>
        <v/>
      </c>
      <c r="AD201" s="28" t="str">
        <f t="shared" si="35"/>
        <v/>
      </c>
      <c r="AE201" s="28" t="str">
        <f t="shared" si="35"/>
        <v/>
      </c>
      <c r="AF201" s="28" t="str">
        <f t="shared" si="35"/>
        <v/>
      </c>
      <c r="AG201" s="28" t="str">
        <f t="shared" si="35"/>
        <v/>
      </c>
    </row>
    <row r="202" spans="1:33" ht="18" x14ac:dyDescent="0.2">
      <c r="A202" s="70"/>
      <c r="B202" s="27" t="s">
        <v>6</v>
      </c>
      <c r="C202" s="28" t="str">
        <f t="shared" ref="C202:AG202" si="36">IF(C112="","",C112)</f>
        <v/>
      </c>
      <c r="D202" s="28" t="str">
        <f t="shared" si="36"/>
        <v/>
      </c>
      <c r="E202" s="28" t="str">
        <f t="shared" si="36"/>
        <v/>
      </c>
      <c r="F202" s="28" t="str">
        <f t="shared" si="36"/>
        <v/>
      </c>
      <c r="G202" s="28" t="str">
        <f t="shared" si="36"/>
        <v/>
      </c>
      <c r="H202" s="28" t="str">
        <f t="shared" si="36"/>
        <v/>
      </c>
      <c r="I202" s="28" t="str">
        <f t="shared" si="36"/>
        <v/>
      </c>
      <c r="J202" s="28" t="str">
        <f t="shared" si="36"/>
        <v/>
      </c>
      <c r="K202" s="28" t="str">
        <f t="shared" si="36"/>
        <v/>
      </c>
      <c r="L202" s="28" t="str">
        <f t="shared" si="36"/>
        <v/>
      </c>
      <c r="M202" s="28" t="str">
        <f t="shared" si="36"/>
        <v/>
      </c>
      <c r="N202" s="28" t="str">
        <f t="shared" si="36"/>
        <v/>
      </c>
      <c r="O202" s="28" t="str">
        <f t="shared" si="36"/>
        <v/>
      </c>
      <c r="P202" s="28" t="str">
        <f t="shared" si="36"/>
        <v/>
      </c>
      <c r="Q202" s="28" t="str">
        <f t="shared" si="36"/>
        <v/>
      </c>
      <c r="R202" s="28" t="str">
        <f t="shared" si="36"/>
        <v/>
      </c>
      <c r="S202" s="28" t="str">
        <f t="shared" si="36"/>
        <v/>
      </c>
      <c r="T202" s="28" t="str">
        <f t="shared" si="36"/>
        <v/>
      </c>
      <c r="U202" s="28" t="str">
        <f t="shared" si="36"/>
        <v/>
      </c>
      <c r="V202" s="28" t="str">
        <f t="shared" si="36"/>
        <v/>
      </c>
      <c r="W202" s="28" t="str">
        <f t="shared" si="36"/>
        <v/>
      </c>
      <c r="X202" s="28" t="str">
        <f t="shared" si="36"/>
        <v/>
      </c>
      <c r="Y202" s="28" t="str">
        <f t="shared" si="36"/>
        <v/>
      </c>
      <c r="Z202" s="28" t="str">
        <f t="shared" si="36"/>
        <v/>
      </c>
      <c r="AA202" s="28" t="str">
        <f t="shared" si="36"/>
        <v/>
      </c>
      <c r="AB202" s="28" t="str">
        <f t="shared" si="36"/>
        <v/>
      </c>
      <c r="AC202" s="28" t="str">
        <f t="shared" si="36"/>
        <v/>
      </c>
      <c r="AD202" s="28" t="str">
        <f t="shared" si="36"/>
        <v/>
      </c>
      <c r="AE202" s="28" t="str">
        <f t="shared" si="36"/>
        <v/>
      </c>
      <c r="AF202" s="28" t="str">
        <f t="shared" si="36"/>
        <v/>
      </c>
      <c r="AG202" s="28" t="str">
        <f t="shared" si="36"/>
        <v/>
      </c>
    </row>
    <row r="203" spans="1:33" ht="18" x14ac:dyDescent="0.2">
      <c r="A203" s="70"/>
      <c r="B203" s="27"/>
      <c r="C203" s="28" t="str">
        <f t="shared" ref="C203:AG203" si="37">IF(C113="","",C113)</f>
        <v/>
      </c>
      <c r="D203" s="28" t="str">
        <f t="shared" si="37"/>
        <v/>
      </c>
      <c r="E203" s="28" t="str">
        <f t="shared" si="37"/>
        <v/>
      </c>
      <c r="F203" s="28" t="str">
        <f t="shared" si="37"/>
        <v/>
      </c>
      <c r="G203" s="28" t="str">
        <f t="shared" si="37"/>
        <v/>
      </c>
      <c r="H203" s="28" t="str">
        <f t="shared" si="37"/>
        <v/>
      </c>
      <c r="I203" s="28" t="str">
        <f t="shared" si="37"/>
        <v/>
      </c>
      <c r="J203" s="28" t="str">
        <f t="shared" si="37"/>
        <v/>
      </c>
      <c r="K203" s="28" t="str">
        <f t="shared" si="37"/>
        <v/>
      </c>
      <c r="L203" s="28" t="str">
        <f t="shared" si="37"/>
        <v/>
      </c>
      <c r="M203" s="28" t="str">
        <f t="shared" si="37"/>
        <v/>
      </c>
      <c r="N203" s="28" t="str">
        <f t="shared" si="37"/>
        <v/>
      </c>
      <c r="O203" s="28" t="str">
        <f t="shared" si="37"/>
        <v/>
      </c>
      <c r="P203" s="28" t="str">
        <f t="shared" si="37"/>
        <v/>
      </c>
      <c r="Q203" s="28" t="str">
        <f t="shared" si="37"/>
        <v/>
      </c>
      <c r="R203" s="28" t="str">
        <f t="shared" si="37"/>
        <v/>
      </c>
      <c r="S203" s="28" t="str">
        <f t="shared" si="37"/>
        <v/>
      </c>
      <c r="T203" s="28" t="str">
        <f t="shared" si="37"/>
        <v/>
      </c>
      <c r="U203" s="28" t="str">
        <f t="shared" si="37"/>
        <v/>
      </c>
      <c r="V203" s="28" t="str">
        <f t="shared" si="37"/>
        <v/>
      </c>
      <c r="W203" s="28" t="str">
        <f t="shared" si="37"/>
        <v/>
      </c>
      <c r="X203" s="28" t="str">
        <f t="shared" si="37"/>
        <v/>
      </c>
      <c r="Y203" s="28" t="str">
        <f t="shared" si="37"/>
        <v/>
      </c>
      <c r="Z203" s="28" t="str">
        <f t="shared" si="37"/>
        <v/>
      </c>
      <c r="AA203" s="28" t="str">
        <f t="shared" si="37"/>
        <v/>
      </c>
      <c r="AB203" s="28" t="str">
        <f t="shared" si="37"/>
        <v/>
      </c>
      <c r="AC203" s="28" t="str">
        <f t="shared" si="37"/>
        <v/>
      </c>
      <c r="AD203" s="28" t="str">
        <f t="shared" si="37"/>
        <v/>
      </c>
      <c r="AE203" s="28" t="str">
        <f t="shared" si="37"/>
        <v/>
      </c>
      <c r="AF203" s="28" t="str">
        <f t="shared" si="37"/>
        <v/>
      </c>
      <c r="AG203" s="28" t="str">
        <f t="shared" si="37"/>
        <v/>
      </c>
    </row>
    <row r="204" spans="1:33" ht="18" x14ac:dyDescent="0.2">
      <c r="A204" s="70"/>
      <c r="B204" s="27" t="s">
        <v>5</v>
      </c>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row>
    <row r="205" spans="1:33" ht="18" x14ac:dyDescent="0.2">
      <c r="A205" s="70"/>
      <c r="B205" s="27" t="s">
        <v>6</v>
      </c>
      <c r="C205" s="28" t="str">
        <f t="shared" ref="C205:AG205" si="38">IF(C115="","",C115)</f>
        <v/>
      </c>
      <c r="D205" s="28" t="str">
        <f t="shared" si="38"/>
        <v/>
      </c>
      <c r="E205" s="28" t="str">
        <f t="shared" si="38"/>
        <v/>
      </c>
      <c r="F205" s="28" t="str">
        <f t="shared" si="38"/>
        <v/>
      </c>
      <c r="G205" s="28" t="str">
        <f t="shared" si="38"/>
        <v/>
      </c>
      <c r="H205" s="28" t="str">
        <f t="shared" si="38"/>
        <v/>
      </c>
      <c r="I205" s="28" t="str">
        <f t="shared" si="38"/>
        <v/>
      </c>
      <c r="J205" s="28" t="str">
        <f t="shared" si="38"/>
        <v/>
      </c>
      <c r="K205" s="28" t="str">
        <f t="shared" si="38"/>
        <v/>
      </c>
      <c r="L205" s="28" t="str">
        <f t="shared" si="38"/>
        <v/>
      </c>
      <c r="M205" s="28" t="str">
        <f t="shared" si="38"/>
        <v/>
      </c>
      <c r="N205" s="28" t="str">
        <f t="shared" si="38"/>
        <v/>
      </c>
      <c r="O205" s="28" t="str">
        <f t="shared" si="38"/>
        <v/>
      </c>
      <c r="P205" s="28" t="str">
        <f t="shared" si="38"/>
        <v/>
      </c>
      <c r="Q205" s="28" t="str">
        <f t="shared" si="38"/>
        <v/>
      </c>
      <c r="R205" s="28" t="str">
        <f t="shared" si="38"/>
        <v/>
      </c>
      <c r="S205" s="28" t="str">
        <f t="shared" si="38"/>
        <v/>
      </c>
      <c r="T205" s="28" t="str">
        <f t="shared" si="38"/>
        <v/>
      </c>
      <c r="U205" s="28" t="str">
        <f t="shared" si="38"/>
        <v/>
      </c>
      <c r="V205" s="28" t="str">
        <f t="shared" si="38"/>
        <v/>
      </c>
      <c r="W205" s="28" t="str">
        <f t="shared" si="38"/>
        <v/>
      </c>
      <c r="X205" s="28" t="str">
        <f t="shared" si="38"/>
        <v/>
      </c>
      <c r="Y205" s="28" t="str">
        <f t="shared" si="38"/>
        <v/>
      </c>
      <c r="Z205" s="28" t="str">
        <f t="shared" si="38"/>
        <v/>
      </c>
      <c r="AA205" s="28" t="str">
        <f t="shared" si="38"/>
        <v/>
      </c>
      <c r="AB205" s="28" t="str">
        <f t="shared" si="38"/>
        <v/>
      </c>
      <c r="AC205" s="28" t="str">
        <f t="shared" si="38"/>
        <v/>
      </c>
      <c r="AD205" s="28" t="str">
        <f t="shared" si="38"/>
        <v/>
      </c>
      <c r="AE205" s="28" t="str">
        <f t="shared" si="38"/>
        <v/>
      </c>
      <c r="AF205" s="28" t="str">
        <f t="shared" si="38"/>
        <v/>
      </c>
      <c r="AG205" s="28" t="str">
        <f t="shared" si="38"/>
        <v/>
      </c>
    </row>
    <row r="206" spans="1:33" ht="18" x14ac:dyDescent="0.2">
      <c r="A206" s="70"/>
      <c r="B206" s="27"/>
      <c r="C206" s="28" t="str">
        <f t="shared" ref="C206:AG206" si="39">IF(C116="","",C116)</f>
        <v/>
      </c>
      <c r="D206" s="28" t="str">
        <f t="shared" si="39"/>
        <v/>
      </c>
      <c r="E206" s="28" t="str">
        <f t="shared" si="39"/>
        <v/>
      </c>
      <c r="F206" s="28" t="str">
        <f t="shared" si="39"/>
        <v/>
      </c>
      <c r="G206" s="28" t="str">
        <f t="shared" si="39"/>
        <v/>
      </c>
      <c r="H206" s="28" t="str">
        <f t="shared" si="39"/>
        <v/>
      </c>
      <c r="I206" s="28" t="str">
        <f t="shared" si="39"/>
        <v/>
      </c>
      <c r="J206" s="28" t="str">
        <f t="shared" si="39"/>
        <v/>
      </c>
      <c r="K206" s="28" t="str">
        <f t="shared" si="39"/>
        <v/>
      </c>
      <c r="L206" s="28" t="str">
        <f t="shared" si="39"/>
        <v/>
      </c>
      <c r="M206" s="28" t="str">
        <f t="shared" si="39"/>
        <v/>
      </c>
      <c r="N206" s="28" t="str">
        <f t="shared" si="39"/>
        <v/>
      </c>
      <c r="O206" s="28" t="str">
        <f t="shared" si="39"/>
        <v/>
      </c>
      <c r="P206" s="28" t="str">
        <f t="shared" si="39"/>
        <v/>
      </c>
      <c r="Q206" s="28" t="str">
        <f t="shared" si="39"/>
        <v/>
      </c>
      <c r="R206" s="28" t="str">
        <f t="shared" si="39"/>
        <v/>
      </c>
      <c r="S206" s="28" t="str">
        <f t="shared" si="39"/>
        <v/>
      </c>
      <c r="T206" s="28" t="str">
        <f t="shared" si="39"/>
        <v/>
      </c>
      <c r="U206" s="28" t="str">
        <f t="shared" si="39"/>
        <v/>
      </c>
      <c r="V206" s="28" t="str">
        <f t="shared" si="39"/>
        <v/>
      </c>
      <c r="W206" s="28" t="str">
        <f t="shared" si="39"/>
        <v/>
      </c>
      <c r="X206" s="28" t="str">
        <f t="shared" si="39"/>
        <v/>
      </c>
      <c r="Y206" s="28" t="str">
        <f t="shared" si="39"/>
        <v/>
      </c>
      <c r="Z206" s="28" t="str">
        <f t="shared" si="39"/>
        <v/>
      </c>
      <c r="AA206" s="28" t="str">
        <f t="shared" si="39"/>
        <v/>
      </c>
      <c r="AB206" s="28" t="str">
        <f t="shared" si="39"/>
        <v/>
      </c>
      <c r="AC206" s="28" t="str">
        <f t="shared" si="39"/>
        <v/>
      </c>
      <c r="AD206" s="28" t="str">
        <f t="shared" si="39"/>
        <v/>
      </c>
      <c r="AE206" s="28" t="str">
        <f t="shared" si="39"/>
        <v/>
      </c>
      <c r="AF206" s="28" t="str">
        <f t="shared" si="39"/>
        <v/>
      </c>
      <c r="AG206" s="28" t="str">
        <f t="shared" si="39"/>
        <v/>
      </c>
    </row>
    <row r="207" spans="1:33" ht="18" x14ac:dyDescent="0.4">
      <c r="A207" s="4" t="s">
        <v>219</v>
      </c>
      <c r="B207" s="4"/>
      <c r="C207" s="4"/>
      <c r="D207" s="4"/>
      <c r="E207" s="4"/>
      <c r="F207" s="4"/>
      <c r="G207" s="4"/>
      <c r="H207" s="4"/>
      <c r="I207" s="4"/>
      <c r="J207" s="4"/>
      <c r="K207" s="4"/>
      <c r="L207" s="4"/>
      <c r="M207" s="4"/>
      <c r="N207" s="4"/>
      <c r="O207" s="4"/>
      <c r="P207" s="4"/>
      <c r="Q207" s="4"/>
      <c r="R207" s="4"/>
      <c r="S207" s="4"/>
      <c r="T207" s="4"/>
      <c r="U207" s="10"/>
      <c r="V207" s="10"/>
      <c r="W207" s="71" t="s">
        <v>186</v>
      </c>
      <c r="X207" s="71"/>
      <c r="Y207" s="71"/>
      <c r="Z207" s="71"/>
      <c r="AA207" s="71"/>
      <c r="AB207" s="71"/>
      <c r="AC207" s="71"/>
      <c r="AD207" s="10"/>
      <c r="AE207" s="10"/>
      <c r="AF207" s="10"/>
      <c r="AG207" s="10"/>
    </row>
    <row r="208" spans="1:33" ht="18" x14ac:dyDescent="0.4">
      <c r="A208" s="7"/>
      <c r="B208" s="7"/>
      <c r="C208" s="7"/>
      <c r="D208" s="7"/>
      <c r="E208" s="7"/>
      <c r="F208" s="7"/>
      <c r="G208" s="7"/>
      <c r="H208" s="7"/>
      <c r="I208" s="7"/>
      <c r="J208" s="7"/>
      <c r="K208" s="7"/>
      <c r="L208" s="7"/>
      <c r="M208" s="7"/>
      <c r="N208" s="7"/>
      <c r="O208" s="7"/>
      <c r="P208" s="7"/>
      <c r="Q208" s="7"/>
      <c r="R208" s="7"/>
      <c r="S208" s="7"/>
      <c r="T208" s="7"/>
      <c r="U208" s="38"/>
      <c r="V208" s="38"/>
      <c r="W208" s="7"/>
      <c r="X208" s="7"/>
      <c r="Y208" s="7"/>
      <c r="Z208" s="7"/>
      <c r="AA208" s="7"/>
      <c r="AB208" s="7"/>
      <c r="AC208" s="7"/>
      <c r="AD208" s="7"/>
      <c r="AE208" s="7"/>
      <c r="AF208" s="7"/>
      <c r="AG208" s="7"/>
    </row>
    <row r="209" spans="1:33" ht="18" x14ac:dyDescent="0.4">
      <c r="A209" s="9"/>
      <c r="B209" s="9"/>
      <c r="C209" s="9"/>
      <c r="D209" s="9"/>
      <c r="E209" s="9"/>
      <c r="F209" s="9"/>
      <c r="G209" s="9"/>
      <c r="H209" s="9"/>
      <c r="I209" s="9"/>
      <c r="J209" s="9"/>
      <c r="K209" s="9"/>
      <c r="L209" s="9"/>
      <c r="M209" s="9"/>
      <c r="N209" s="9"/>
      <c r="O209" s="9"/>
      <c r="P209" s="72" t="s">
        <v>28</v>
      </c>
      <c r="Q209" s="72"/>
      <c r="R209" s="73" t="str">
        <f>IF(R149=0,"",R149)</f>
        <v>พีรวัส</v>
      </c>
      <c r="S209" s="73"/>
      <c r="T209" s="73"/>
      <c r="U209" s="97" t="s">
        <v>221</v>
      </c>
      <c r="V209" s="97"/>
      <c r="W209" s="73" t="str">
        <f>IF(W149=0,"",W149)</f>
        <v>วรพงศ์</v>
      </c>
      <c r="X209" s="73"/>
      <c r="Y209" s="73"/>
      <c r="Z209" s="8" t="s">
        <v>29</v>
      </c>
      <c r="AA209" s="74">
        <f>IF(AA149=0,"",AA149)</f>
        <v>46204</v>
      </c>
      <c r="AB209" s="73"/>
      <c r="AC209" s="73"/>
      <c r="AD209" s="9"/>
      <c r="AE209" s="73"/>
      <c r="AF209" s="73"/>
      <c r="AG209" s="73"/>
    </row>
    <row r="211" spans="1:33" ht="23.25" x14ac:dyDescent="0.5">
      <c r="A211" s="80" t="s">
        <v>210</v>
      </c>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c r="AE211" s="80"/>
      <c r="AF211" s="80"/>
      <c r="AG211" s="80"/>
    </row>
    <row r="212" spans="1:33" s="1" customFormat="1" ht="21" x14ac:dyDescent="0.45">
      <c r="A212" s="6" t="s">
        <v>22</v>
      </c>
      <c r="B212" s="81" t="s">
        <v>52</v>
      </c>
      <c r="C212" s="81"/>
      <c r="D212" s="81"/>
      <c r="E212" s="81"/>
      <c r="F212" s="81"/>
      <c r="G212" s="81"/>
      <c r="H212" s="6" t="s">
        <v>24</v>
      </c>
      <c r="I212" s="81" t="s">
        <v>53</v>
      </c>
      <c r="J212" s="81"/>
      <c r="K212" s="81"/>
      <c r="L212" s="81"/>
      <c r="M212" s="83" t="s">
        <v>25</v>
      </c>
      <c r="N212" s="83"/>
      <c r="O212" s="81" t="s">
        <v>48</v>
      </c>
      <c r="P212" s="81"/>
      <c r="Q212" s="81"/>
      <c r="R212" s="81"/>
      <c r="S212" s="81"/>
      <c r="T212" s="6" t="s">
        <v>20</v>
      </c>
      <c r="U212" s="101">
        <f>$U$2</f>
        <v>2569</v>
      </c>
      <c r="V212" s="101"/>
      <c r="W212" s="83" t="s">
        <v>35</v>
      </c>
      <c r="X212" s="83"/>
      <c r="Y212" s="83"/>
      <c r="Z212" s="1" t="s">
        <v>285</v>
      </c>
    </row>
    <row r="213" spans="1:33" ht="18.75" customHeight="1" x14ac:dyDescent="0.2">
      <c r="A213" s="20" t="s">
        <v>0</v>
      </c>
      <c r="B213" s="21" t="s">
        <v>2</v>
      </c>
      <c r="C213" s="98" t="str">
        <f>C183</f>
        <v>เดือน กรกฏาคม</v>
      </c>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row>
    <row r="214" spans="1:33" ht="18" x14ac:dyDescent="0.2">
      <c r="A214" s="23" t="s">
        <v>1</v>
      </c>
      <c r="B214" s="24" t="s">
        <v>3</v>
      </c>
      <c r="C214" s="22">
        <f>C184</f>
        <v>1</v>
      </c>
      <c r="D214" s="22">
        <f>D184</f>
        <v>2</v>
      </c>
      <c r="E214" s="22">
        <f t="shared" ref="E214:AG214" si="40">E184</f>
        <v>3</v>
      </c>
      <c r="F214" s="22">
        <f t="shared" si="40"/>
        <v>4</v>
      </c>
      <c r="G214" s="22">
        <f t="shared" si="40"/>
        <v>5</v>
      </c>
      <c r="H214" s="22">
        <f t="shared" si="40"/>
        <v>6</v>
      </c>
      <c r="I214" s="22">
        <f t="shared" si="40"/>
        <v>7</v>
      </c>
      <c r="J214" s="22">
        <f t="shared" si="40"/>
        <v>8</v>
      </c>
      <c r="K214" s="22">
        <f t="shared" si="40"/>
        <v>9</v>
      </c>
      <c r="L214" s="22">
        <f t="shared" si="40"/>
        <v>10</v>
      </c>
      <c r="M214" s="22">
        <f t="shared" si="40"/>
        <v>11</v>
      </c>
      <c r="N214" s="22">
        <f t="shared" si="40"/>
        <v>12</v>
      </c>
      <c r="O214" s="22">
        <f t="shared" si="40"/>
        <v>13</v>
      </c>
      <c r="P214" s="22">
        <f t="shared" si="40"/>
        <v>14</v>
      </c>
      <c r="Q214" s="22">
        <f t="shared" si="40"/>
        <v>15</v>
      </c>
      <c r="R214" s="22">
        <f t="shared" si="40"/>
        <v>16</v>
      </c>
      <c r="S214" s="22">
        <f t="shared" si="40"/>
        <v>17</v>
      </c>
      <c r="T214" s="22">
        <f t="shared" si="40"/>
        <v>18</v>
      </c>
      <c r="U214" s="22">
        <f t="shared" si="40"/>
        <v>19</v>
      </c>
      <c r="V214" s="22">
        <f t="shared" si="40"/>
        <v>20</v>
      </c>
      <c r="W214" s="22">
        <f t="shared" si="40"/>
        <v>21</v>
      </c>
      <c r="X214" s="22">
        <f t="shared" si="40"/>
        <v>22</v>
      </c>
      <c r="Y214" s="22">
        <f t="shared" si="40"/>
        <v>23</v>
      </c>
      <c r="Z214" s="22">
        <f t="shared" si="40"/>
        <v>24</v>
      </c>
      <c r="AA214" s="22">
        <f t="shared" si="40"/>
        <v>25</v>
      </c>
      <c r="AB214" s="22">
        <f t="shared" si="40"/>
        <v>26</v>
      </c>
      <c r="AC214" s="22">
        <f t="shared" si="40"/>
        <v>27</v>
      </c>
      <c r="AD214" s="22">
        <f t="shared" si="40"/>
        <v>28</v>
      </c>
      <c r="AE214" s="22">
        <f t="shared" si="40"/>
        <v>29</v>
      </c>
      <c r="AF214" s="22">
        <f t="shared" si="40"/>
        <v>30</v>
      </c>
      <c r="AG214" s="22">
        <f t="shared" si="40"/>
        <v>31</v>
      </c>
    </row>
    <row r="215" spans="1:33" ht="18" x14ac:dyDescent="0.2">
      <c r="A215" s="25"/>
      <c r="B215" s="26"/>
      <c r="C215" s="22" t="str">
        <f>_xlfn.IFNA(IF(OR(C214="",C214=0),"",(VLOOKUP(B215,'น้ำยา-เครื่อง'!$A:$AF,C214+1,FALSE))),"")</f>
        <v/>
      </c>
      <c r="D215" s="22" t="str">
        <f>_xlfn.IFNA(IF(OR(D214="",D214=0),"",(VLOOKUP(B215,'น้ำยา-เครื่อง'!$A:$AF,D214+1,FALSE))),"")</f>
        <v/>
      </c>
      <c r="E215" s="22" t="str">
        <f>_xlfn.IFNA(IF(OR(E214="",E214=0),"",(VLOOKUP(B215,'น้ำยา-เครื่อง'!$A:$AF,E214+1,FALSE))),"")</f>
        <v/>
      </c>
      <c r="F215" s="22" t="str">
        <f>_xlfn.IFNA(IF(OR(F214="",F214=0),"",(VLOOKUP(B215,'น้ำยา-เครื่อง'!$A:$AF,F214+1,FALSE))),"")</f>
        <v/>
      </c>
      <c r="G215" s="22" t="str">
        <f>_xlfn.IFNA(IF(OR(G214="",G214=0),"",(VLOOKUP(B215,'น้ำยา-เครื่อง'!$A:$AF,G214+1,FALSE))),"")</f>
        <v/>
      </c>
      <c r="H215" s="22" t="str">
        <f>_xlfn.IFNA(IF(OR(H214="",H214=0),"",(VLOOKUP(B215,'น้ำยา-เครื่อง'!$A:$AF,H214+1,FALSE))),"")</f>
        <v/>
      </c>
      <c r="I215" s="22" t="str">
        <f>_xlfn.IFNA(IF(OR(I214="",I214=0),"",(VLOOKUP(B215,'น้ำยา-เครื่อง'!$A:$AF,I214+1,FALSE))),"")</f>
        <v/>
      </c>
      <c r="J215" s="22" t="str">
        <f>_xlfn.IFNA(IF(OR(J214="",J214=0),"",(VLOOKUP(B215,'น้ำยา-เครื่อง'!$A:$AF,J214+1,FALSE))),"")</f>
        <v/>
      </c>
      <c r="K215" s="22" t="str">
        <f>_xlfn.IFNA(IF(OR(K214="",K214=0),"",(VLOOKUP(B215,'น้ำยา-เครื่อง'!$A:$AF,K214+1,FALSE))),"")</f>
        <v/>
      </c>
      <c r="L215" s="22" t="str">
        <f>_xlfn.IFNA(IF(OR(L214="",L214=0),"",(VLOOKUP(B215,'น้ำยา-เครื่อง'!$A:$AF,L214+1,FALSE))),"")</f>
        <v/>
      </c>
      <c r="M215" s="22" t="str">
        <f>_xlfn.IFNA(IF(OR(M214="",M214=0),"",(VLOOKUP(B215,'น้ำยา-เครื่อง'!$A:$AF,M214+1,FALSE))),"")</f>
        <v/>
      </c>
      <c r="N215" s="22" t="str">
        <f>_xlfn.IFNA(IF(OR(N214="",N214=0),"",(VLOOKUP(B215,'น้ำยา-เครื่อง'!$A:$AF,N214+1,FALSE))),"")</f>
        <v/>
      </c>
      <c r="O215" s="22" t="str">
        <f>_xlfn.IFNA(IF(OR(O214="",O214=0),"",(VLOOKUP(B215,'น้ำยา-เครื่อง'!$A:$AF,O214+1,FALSE))),"")</f>
        <v/>
      </c>
      <c r="P215" s="22" t="str">
        <f>_xlfn.IFNA(IF(OR(P214="",P214=0),"",(VLOOKUP(B215,'น้ำยา-เครื่อง'!$A:$AF,P214+1,FALSE))),"")</f>
        <v/>
      </c>
      <c r="Q215" s="22" t="str">
        <f>_xlfn.IFNA(IF(OR(Q214="",Q214=0),"",(VLOOKUP(B215,'น้ำยา-เครื่อง'!$A:$AF,Q214+1,FALSE))),"")</f>
        <v/>
      </c>
      <c r="R215" s="22" t="str">
        <f>_xlfn.IFNA(IF(OR(R214="",R214=0),"",(VLOOKUP(B215,'น้ำยา-เครื่อง'!$A:$AF,R214+1,FALSE))),"")</f>
        <v/>
      </c>
      <c r="S215" s="22" t="str">
        <f>_xlfn.IFNA(IF(OR(S214="",S214=0),"",(VLOOKUP(B215,'น้ำยา-เครื่อง'!$A:$AF,S214+1,FALSE))),"")</f>
        <v/>
      </c>
      <c r="T215" s="22" t="str">
        <f>_xlfn.IFNA(IF(OR(T214="",T214=0),"",(VLOOKUP(B215,'น้ำยา-เครื่อง'!$A:$AF,T214+1,FALSE))),"")</f>
        <v/>
      </c>
      <c r="U215" s="22" t="str">
        <f>_xlfn.IFNA(IF(OR(U214="",U214=0),"",(VLOOKUP(B215,'น้ำยา-เครื่อง'!$A:$AF,U214+1,FALSE))),"")</f>
        <v/>
      </c>
      <c r="V215" s="22" t="str">
        <f>_xlfn.IFNA(IF(OR(V214="",V214=0),"",(VLOOKUP(B215,'น้ำยา-เครื่อง'!$A:$AF,V214+1,FALSE))),"")</f>
        <v/>
      </c>
      <c r="W215" s="22" t="str">
        <f>_xlfn.IFNA(IF(OR(W214="",W214=0),"",(VLOOKUP(B215,'น้ำยา-เครื่อง'!$A:$AF,W214+1,FALSE))),"")</f>
        <v/>
      </c>
      <c r="X215" s="22" t="str">
        <f>_xlfn.IFNA(IF(OR(X214="",X214=0),"",(VLOOKUP(B215,'น้ำยา-เครื่อง'!$A:$AF,X214+1,FALSE))),"")</f>
        <v/>
      </c>
      <c r="Y215" s="22" t="str">
        <f>_xlfn.IFNA(IF(OR(Y214="",Y214=0),"",(VLOOKUP(B215,'น้ำยา-เครื่อง'!$A:$AF,Y214+1,FALSE))),"")</f>
        <v/>
      </c>
      <c r="Z215" s="22" t="str">
        <f>_xlfn.IFNA(IF(OR(Z214="",Z214=0),"",(VLOOKUP(B215,'น้ำยา-เครื่อง'!$A:$AF,Z214+1,FALSE))),"")</f>
        <v/>
      </c>
      <c r="AA215" s="22" t="str">
        <f>_xlfn.IFNA(IF(OR(AA214="",AA214=0),"",(VLOOKUP(B215,'น้ำยา-เครื่อง'!$A:$AF,AA214+1,FALSE))),"")</f>
        <v/>
      </c>
      <c r="AB215" s="22" t="str">
        <f>_xlfn.IFNA(IF(OR(AB214="",AB214=0),"",(VLOOKUP(B215,'น้ำยา-เครื่อง'!$A:$AF,AB214+1,FALSE))),"")</f>
        <v/>
      </c>
      <c r="AC215" s="22" t="str">
        <f>_xlfn.IFNA(IF(OR(AC214="",AC214=0),"",(VLOOKUP(B215,'น้ำยา-เครื่อง'!$A:$AF,AC214+1,FALSE))),"")</f>
        <v/>
      </c>
      <c r="AD215" s="22" t="str">
        <f>_xlfn.IFNA(IF(OR(AD214="",AD214=0),"",(VLOOKUP(B215,'น้ำยา-เครื่อง'!$A:$AF,AD214+1,FALSE))),"")</f>
        <v/>
      </c>
      <c r="AE215" s="22" t="str">
        <f>_xlfn.IFNA(IF(OR(AE214="",AE214=0),"",(VLOOKUP(B215,'น้ำยา-เครื่อง'!$A:$AF,AE214+1,FALSE))),"")</f>
        <v/>
      </c>
      <c r="AF215" s="22" t="str">
        <f>_xlfn.IFNA(IF(OR(AF214="",AF214=0),"",(VLOOKUP(B215,'น้ำยา-เครื่อง'!$A:$AF,AF214+1,FALSE))),"")</f>
        <v/>
      </c>
      <c r="AG215" s="22" t="str">
        <f>_xlfn.IFNA(IF(OR(AG214="",AG214=0),"",(VLOOKUP(B215,'น้ำยา-เครื่อง'!$A:$AF,AG214+1,FALSE))),"")</f>
        <v/>
      </c>
    </row>
    <row r="216" spans="1:33" ht="18.75" customHeight="1" x14ac:dyDescent="0.2">
      <c r="A216" s="70" t="s">
        <v>49</v>
      </c>
      <c r="B216" s="27" t="s">
        <v>5</v>
      </c>
      <c r="C216" s="28" t="str">
        <f>C186</f>
        <v>O</v>
      </c>
      <c r="D216" s="28" t="str">
        <f t="shared" ref="D216:AG216" si="41">D186</f>
        <v/>
      </c>
      <c r="E216" s="28" t="str">
        <f t="shared" si="41"/>
        <v/>
      </c>
      <c r="F216" s="28" t="str">
        <f t="shared" si="41"/>
        <v/>
      </c>
      <c r="G216" s="28" t="str">
        <f t="shared" si="41"/>
        <v/>
      </c>
      <c r="H216" s="28" t="str">
        <f t="shared" si="41"/>
        <v/>
      </c>
      <c r="I216" s="28" t="str">
        <f t="shared" si="41"/>
        <v>O</v>
      </c>
      <c r="J216" s="28" t="str">
        <f t="shared" si="41"/>
        <v>O</v>
      </c>
      <c r="K216" s="28" t="str">
        <f t="shared" si="41"/>
        <v>O</v>
      </c>
      <c r="L216" s="28" t="str">
        <f t="shared" si="41"/>
        <v/>
      </c>
      <c r="M216" s="28" t="str">
        <f t="shared" si="41"/>
        <v/>
      </c>
      <c r="N216" s="28" t="str">
        <f t="shared" si="41"/>
        <v/>
      </c>
      <c r="O216" s="28" t="str">
        <f t="shared" si="41"/>
        <v/>
      </c>
      <c r="P216" s="28" t="str">
        <f t="shared" si="41"/>
        <v>O</v>
      </c>
      <c r="Q216" s="28" t="str">
        <f t="shared" si="41"/>
        <v>O</v>
      </c>
      <c r="R216" s="28" t="str">
        <f t="shared" si="41"/>
        <v>O</v>
      </c>
      <c r="S216" s="28" t="str">
        <f t="shared" si="41"/>
        <v/>
      </c>
      <c r="T216" s="28" t="str">
        <f t="shared" si="41"/>
        <v/>
      </c>
      <c r="U216" s="28" t="str">
        <f t="shared" si="41"/>
        <v/>
      </c>
      <c r="V216" s="28" t="str">
        <f t="shared" si="41"/>
        <v/>
      </c>
      <c r="W216" s="28" t="str">
        <f t="shared" si="41"/>
        <v>O</v>
      </c>
      <c r="X216" s="28" t="str">
        <f t="shared" si="41"/>
        <v>O</v>
      </c>
      <c r="Y216" s="28" t="str">
        <f t="shared" si="41"/>
        <v>O</v>
      </c>
      <c r="Z216" s="28" t="str">
        <f t="shared" si="41"/>
        <v/>
      </c>
      <c r="AA216" s="28" t="str">
        <f t="shared" si="41"/>
        <v/>
      </c>
      <c r="AB216" s="28" t="str">
        <f t="shared" si="41"/>
        <v/>
      </c>
      <c r="AC216" s="28" t="str">
        <f t="shared" si="41"/>
        <v/>
      </c>
      <c r="AD216" s="28" t="str">
        <f t="shared" si="41"/>
        <v/>
      </c>
      <c r="AE216" s="28" t="str">
        <f t="shared" si="41"/>
        <v/>
      </c>
      <c r="AF216" s="28" t="str">
        <f t="shared" si="41"/>
        <v/>
      </c>
      <c r="AG216" s="28" t="str">
        <f t="shared" si="41"/>
        <v/>
      </c>
    </row>
    <row r="217" spans="1:33" ht="18" x14ac:dyDescent="0.2">
      <c r="A217" s="70"/>
      <c r="B217" s="27" t="s">
        <v>6</v>
      </c>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row>
    <row r="218" spans="1:33" ht="18" x14ac:dyDescent="0.2">
      <c r="A218" s="70"/>
      <c r="B218" s="27"/>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row>
    <row r="219" spans="1:33" ht="18.75" customHeight="1" x14ac:dyDescent="0.2">
      <c r="A219" s="70" t="s">
        <v>50</v>
      </c>
      <c r="B219" s="27" t="s">
        <v>5</v>
      </c>
      <c r="C219" s="28" t="str">
        <f>C189</f>
        <v>O</v>
      </c>
      <c r="D219" s="28" t="str">
        <f t="shared" ref="D219:AG219" si="42">D189</f>
        <v/>
      </c>
      <c r="E219" s="28" t="str">
        <f t="shared" si="42"/>
        <v/>
      </c>
      <c r="F219" s="28" t="str">
        <f t="shared" si="42"/>
        <v/>
      </c>
      <c r="G219" s="28" t="str">
        <f t="shared" si="42"/>
        <v/>
      </c>
      <c r="H219" s="28" t="str">
        <f t="shared" si="42"/>
        <v/>
      </c>
      <c r="I219" s="28" t="str">
        <f t="shared" si="42"/>
        <v>O</v>
      </c>
      <c r="J219" s="28" t="str">
        <f t="shared" si="42"/>
        <v>O</v>
      </c>
      <c r="K219" s="28" t="str">
        <f t="shared" si="42"/>
        <v>O</v>
      </c>
      <c r="L219" s="28" t="str">
        <f t="shared" si="42"/>
        <v/>
      </c>
      <c r="M219" s="28" t="str">
        <f t="shared" si="42"/>
        <v/>
      </c>
      <c r="N219" s="28" t="str">
        <f t="shared" si="42"/>
        <v/>
      </c>
      <c r="O219" s="28" t="str">
        <f t="shared" si="42"/>
        <v/>
      </c>
      <c r="P219" s="28" t="str">
        <f t="shared" si="42"/>
        <v>O</v>
      </c>
      <c r="Q219" s="28" t="str">
        <f t="shared" si="42"/>
        <v>O</v>
      </c>
      <c r="R219" s="28" t="str">
        <f t="shared" si="42"/>
        <v>O</v>
      </c>
      <c r="S219" s="28" t="str">
        <f t="shared" si="42"/>
        <v/>
      </c>
      <c r="T219" s="28" t="str">
        <f t="shared" si="42"/>
        <v/>
      </c>
      <c r="U219" s="28" t="str">
        <f t="shared" si="42"/>
        <v/>
      </c>
      <c r="V219" s="28" t="str">
        <f t="shared" si="42"/>
        <v/>
      </c>
      <c r="W219" s="28" t="str">
        <f t="shared" si="42"/>
        <v>O</v>
      </c>
      <c r="X219" s="28" t="str">
        <f t="shared" si="42"/>
        <v>O</v>
      </c>
      <c r="Y219" s="28" t="str">
        <f t="shared" si="42"/>
        <v>O</v>
      </c>
      <c r="Z219" s="28" t="str">
        <f t="shared" si="42"/>
        <v/>
      </c>
      <c r="AA219" s="28" t="str">
        <f t="shared" si="42"/>
        <v/>
      </c>
      <c r="AB219" s="28" t="str">
        <f t="shared" si="42"/>
        <v/>
      </c>
      <c r="AC219" s="28" t="str">
        <f t="shared" si="42"/>
        <v/>
      </c>
      <c r="AD219" s="28" t="str">
        <f t="shared" si="42"/>
        <v/>
      </c>
      <c r="AE219" s="28" t="str">
        <f t="shared" si="42"/>
        <v/>
      </c>
      <c r="AF219" s="28" t="str">
        <f t="shared" si="42"/>
        <v/>
      </c>
      <c r="AG219" s="28" t="str">
        <f t="shared" si="42"/>
        <v/>
      </c>
    </row>
    <row r="220" spans="1:33" ht="18" x14ac:dyDescent="0.2">
      <c r="A220" s="70"/>
      <c r="B220" s="27" t="s">
        <v>6</v>
      </c>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row>
    <row r="221" spans="1:33" ht="18" x14ac:dyDescent="0.2">
      <c r="A221" s="70"/>
      <c r="B221" s="27"/>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row>
    <row r="222" spans="1:33" ht="18" x14ac:dyDescent="0.2">
      <c r="A222" s="70"/>
      <c r="B222" s="27" t="s">
        <v>5</v>
      </c>
      <c r="C222" s="28" t="str">
        <f>IF(C192="","",C192)</f>
        <v/>
      </c>
      <c r="D222" s="28" t="str">
        <f t="shared" ref="D222:AG222" si="43">IF(D192="","",D192)</f>
        <v/>
      </c>
      <c r="E222" s="28" t="str">
        <f t="shared" si="43"/>
        <v/>
      </c>
      <c r="F222" s="28" t="str">
        <f t="shared" si="43"/>
        <v/>
      </c>
      <c r="G222" s="28" t="str">
        <f t="shared" si="43"/>
        <v/>
      </c>
      <c r="H222" s="28" t="str">
        <f t="shared" si="43"/>
        <v/>
      </c>
      <c r="I222" s="28" t="str">
        <f t="shared" si="43"/>
        <v/>
      </c>
      <c r="J222" s="28" t="str">
        <f t="shared" si="43"/>
        <v/>
      </c>
      <c r="K222" s="28" t="str">
        <f t="shared" si="43"/>
        <v/>
      </c>
      <c r="L222" s="28" t="str">
        <f t="shared" si="43"/>
        <v/>
      </c>
      <c r="M222" s="28" t="str">
        <f t="shared" si="43"/>
        <v/>
      </c>
      <c r="N222" s="28" t="str">
        <f t="shared" si="43"/>
        <v/>
      </c>
      <c r="O222" s="28" t="str">
        <f>IF(O192="","",O192)</f>
        <v/>
      </c>
      <c r="P222" s="28" t="str">
        <f t="shared" si="43"/>
        <v/>
      </c>
      <c r="Q222" s="28" t="str">
        <f t="shared" si="43"/>
        <v/>
      </c>
      <c r="R222" s="28" t="str">
        <f t="shared" si="43"/>
        <v/>
      </c>
      <c r="S222" s="28" t="str">
        <f t="shared" si="43"/>
        <v/>
      </c>
      <c r="T222" s="28" t="str">
        <f t="shared" si="43"/>
        <v/>
      </c>
      <c r="U222" s="28" t="str">
        <f t="shared" si="43"/>
        <v/>
      </c>
      <c r="V222" s="28" t="str">
        <f>IF(V192="","",V192)</f>
        <v/>
      </c>
      <c r="W222" s="28" t="str">
        <f t="shared" si="43"/>
        <v/>
      </c>
      <c r="X222" s="28" t="str">
        <f t="shared" si="43"/>
        <v/>
      </c>
      <c r="Y222" s="28" t="str">
        <f t="shared" si="43"/>
        <v/>
      </c>
      <c r="Z222" s="28" t="str">
        <f t="shared" si="43"/>
        <v/>
      </c>
      <c r="AA222" s="28" t="str">
        <f t="shared" si="43"/>
        <v/>
      </c>
      <c r="AB222" s="28" t="str">
        <f t="shared" si="43"/>
        <v/>
      </c>
      <c r="AC222" s="28" t="str">
        <f t="shared" si="43"/>
        <v/>
      </c>
      <c r="AD222" s="28" t="str">
        <f t="shared" si="43"/>
        <v/>
      </c>
      <c r="AE222" s="28" t="str">
        <f t="shared" si="43"/>
        <v/>
      </c>
      <c r="AF222" s="28" t="str">
        <f t="shared" si="43"/>
        <v/>
      </c>
      <c r="AG222" s="28" t="str">
        <f t="shared" si="43"/>
        <v/>
      </c>
    </row>
    <row r="223" spans="1:33" ht="18" x14ac:dyDescent="0.2">
      <c r="A223" s="70"/>
      <c r="B223" s="27" t="s">
        <v>6</v>
      </c>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row>
    <row r="224" spans="1:33" ht="18" x14ac:dyDescent="0.2">
      <c r="A224" s="70"/>
      <c r="B224" s="27"/>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row>
    <row r="225" spans="1:33" ht="18.75" customHeight="1" x14ac:dyDescent="0.2">
      <c r="A225" s="20" t="s">
        <v>0</v>
      </c>
      <c r="B225" s="21" t="s">
        <v>2</v>
      </c>
      <c r="C225" s="98" t="str">
        <f>C195</f>
        <v>เดือน สิงหาคม</v>
      </c>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row>
    <row r="226" spans="1:33" ht="18" x14ac:dyDescent="0.2">
      <c r="A226" s="23" t="s">
        <v>1</v>
      </c>
      <c r="B226" s="24" t="s">
        <v>3</v>
      </c>
      <c r="C226" s="22">
        <f>C196</f>
        <v>1</v>
      </c>
      <c r="D226" s="22">
        <f t="shared" ref="D226:AG226" si="44">D196</f>
        <v>2</v>
      </c>
      <c r="E226" s="22">
        <f t="shared" si="44"/>
        <v>3</v>
      </c>
      <c r="F226" s="22">
        <f t="shared" si="44"/>
        <v>4</v>
      </c>
      <c r="G226" s="22">
        <f t="shared" si="44"/>
        <v>5</v>
      </c>
      <c r="H226" s="22">
        <f t="shared" si="44"/>
        <v>6</v>
      </c>
      <c r="I226" s="22">
        <f t="shared" si="44"/>
        <v>7</v>
      </c>
      <c r="J226" s="22">
        <f t="shared" si="44"/>
        <v>8</v>
      </c>
      <c r="K226" s="22">
        <f t="shared" si="44"/>
        <v>9</v>
      </c>
      <c r="L226" s="22">
        <f t="shared" si="44"/>
        <v>10</v>
      </c>
      <c r="M226" s="22">
        <f t="shared" si="44"/>
        <v>11</v>
      </c>
      <c r="N226" s="22">
        <f t="shared" si="44"/>
        <v>12</v>
      </c>
      <c r="O226" s="22">
        <f t="shared" si="44"/>
        <v>13</v>
      </c>
      <c r="P226" s="22">
        <f t="shared" si="44"/>
        <v>14</v>
      </c>
      <c r="Q226" s="22">
        <f t="shared" si="44"/>
        <v>15</v>
      </c>
      <c r="R226" s="22">
        <f t="shared" si="44"/>
        <v>16</v>
      </c>
      <c r="S226" s="22">
        <f t="shared" si="44"/>
        <v>17</v>
      </c>
      <c r="T226" s="22">
        <f t="shared" si="44"/>
        <v>18</v>
      </c>
      <c r="U226" s="22">
        <f t="shared" si="44"/>
        <v>19</v>
      </c>
      <c r="V226" s="22">
        <f t="shared" si="44"/>
        <v>20</v>
      </c>
      <c r="W226" s="22">
        <f t="shared" si="44"/>
        <v>21</v>
      </c>
      <c r="X226" s="22">
        <f t="shared" si="44"/>
        <v>22</v>
      </c>
      <c r="Y226" s="22">
        <f t="shared" si="44"/>
        <v>23</v>
      </c>
      <c r="Z226" s="22">
        <f t="shared" si="44"/>
        <v>24</v>
      </c>
      <c r="AA226" s="22">
        <f t="shared" si="44"/>
        <v>25</v>
      </c>
      <c r="AB226" s="22">
        <f t="shared" si="44"/>
        <v>26</v>
      </c>
      <c r="AC226" s="22">
        <f t="shared" si="44"/>
        <v>27</v>
      </c>
      <c r="AD226" s="22">
        <f t="shared" si="44"/>
        <v>28</v>
      </c>
      <c r="AE226" s="22">
        <f t="shared" si="44"/>
        <v>29</v>
      </c>
      <c r="AF226" s="22">
        <f t="shared" si="44"/>
        <v>30</v>
      </c>
      <c r="AG226" s="22">
        <f t="shared" si="44"/>
        <v>0</v>
      </c>
    </row>
    <row r="227" spans="1:33" ht="18" x14ac:dyDescent="0.2">
      <c r="A227" s="25"/>
      <c r="B227" s="26"/>
      <c r="C227" s="22" t="str">
        <f>_xlfn.IFNA(IF(OR(C226="",C226=0),"",(VLOOKUP($B227,'น้ำยา-เครื่อง'!$A$14:$AF$23,C226+1,FALSE))),"")</f>
        <v/>
      </c>
      <c r="D227" s="22" t="str">
        <f>_xlfn.IFNA(IF(OR(D226="",D226=0),"",(VLOOKUP($B227,'น้ำยา-เครื่อง'!$A$14:$AF$23,D226+1,FALSE))),"")</f>
        <v/>
      </c>
      <c r="E227" s="22" t="str">
        <f>_xlfn.IFNA(IF(OR(E226="",E226=0),"",(VLOOKUP($B227,'น้ำยา-เครื่อง'!$A$14:$AF$23,E226+1,FALSE))),"")</f>
        <v/>
      </c>
      <c r="F227" s="22" t="str">
        <f>_xlfn.IFNA(IF(OR(F226="",F226=0),"",(VLOOKUP($B227,'น้ำยา-เครื่อง'!$A$14:$AF$23,F226+1,FALSE))),"")</f>
        <v/>
      </c>
      <c r="G227" s="22" t="str">
        <f>_xlfn.IFNA(IF(OR(G226="",G226=0),"",(VLOOKUP($B227,'น้ำยา-เครื่อง'!$A$14:$AF$23,G226+1,FALSE))),"")</f>
        <v/>
      </c>
      <c r="H227" s="22" t="str">
        <f>_xlfn.IFNA(IF(OR(H226="",H226=0),"",(VLOOKUP($B227,'น้ำยา-เครื่อง'!$A$14:$AF$23,H226+1,FALSE))),"")</f>
        <v/>
      </c>
      <c r="I227" s="22" t="str">
        <f>_xlfn.IFNA(IF(OR(I226="",I226=0),"",(VLOOKUP($B227,'น้ำยา-เครื่อง'!$A$14:$AF$23,I226+1,FALSE))),"")</f>
        <v/>
      </c>
      <c r="J227" s="22" t="str">
        <f>_xlfn.IFNA(IF(OR(J226="",J226=0),"",(VLOOKUP($B227,'น้ำยา-เครื่อง'!$A$14:$AF$23,J226+1,FALSE))),"")</f>
        <v/>
      </c>
      <c r="K227" s="22" t="str">
        <f>_xlfn.IFNA(IF(OR(K226="",K226=0),"",(VLOOKUP($B227,'น้ำยา-เครื่อง'!$A$14:$AF$23,K226+1,FALSE))),"")</f>
        <v/>
      </c>
      <c r="L227" s="22" t="str">
        <f>_xlfn.IFNA(IF(OR(L226="",L226=0),"",(VLOOKUP($B227,'น้ำยา-เครื่อง'!$A$14:$AF$23,L226+1,FALSE))),"")</f>
        <v/>
      </c>
      <c r="M227" s="22" t="str">
        <f>_xlfn.IFNA(IF(OR(M226="",M226=0),"",(VLOOKUP($B227,'น้ำยา-เครื่อง'!$A$14:$AF$23,M226+1,FALSE))),"")</f>
        <v/>
      </c>
      <c r="N227" s="22" t="str">
        <f>_xlfn.IFNA(IF(OR(N226="",N226=0),"",(VLOOKUP($B227,'น้ำยา-เครื่อง'!$A$14:$AF$23,N226+1,FALSE))),"")</f>
        <v/>
      </c>
      <c r="O227" s="22" t="str">
        <f>_xlfn.IFNA(IF(OR(O226="",O226=0),"",(VLOOKUP($B227,'น้ำยา-เครื่อง'!$A$14:$AF$23,O226+1,FALSE))),"")</f>
        <v/>
      </c>
      <c r="P227" s="22" t="str">
        <f>_xlfn.IFNA(IF(OR(P226="",P226=0),"",(VLOOKUP($B227,'น้ำยา-เครื่อง'!$A$14:$AF$23,P226+1,FALSE))),"")</f>
        <v/>
      </c>
      <c r="Q227" s="22" t="str">
        <f>_xlfn.IFNA(IF(OR(Q226="",Q226=0),"",(VLOOKUP($B227,'น้ำยา-เครื่อง'!$A$14:$AF$23,Q226+1,FALSE))),"")</f>
        <v/>
      </c>
      <c r="R227" s="22" t="str">
        <f>_xlfn.IFNA(IF(OR(R226="",R226=0),"",(VLOOKUP($B227,'น้ำยา-เครื่อง'!$A$14:$AF$23,R226+1,FALSE))),"")</f>
        <v/>
      </c>
      <c r="S227" s="22" t="str">
        <f>_xlfn.IFNA(IF(OR(S226="",S226=0),"",(VLOOKUP($B227,'น้ำยา-เครื่อง'!$A$14:$AF$23,S226+1,FALSE))),"")</f>
        <v/>
      </c>
      <c r="T227" s="22" t="str">
        <f>_xlfn.IFNA(IF(OR(T226="",T226=0),"",(VLOOKUP($B227,'น้ำยา-เครื่อง'!$A$14:$AF$23,T226+1,FALSE))),"")</f>
        <v/>
      </c>
      <c r="U227" s="22" t="str">
        <f>_xlfn.IFNA(IF(OR(U226="",U226=0),"",(VLOOKUP($B227,'น้ำยา-เครื่อง'!$A$14:$AF$23,U226+1,FALSE))),"")</f>
        <v/>
      </c>
      <c r="V227" s="22" t="str">
        <f>_xlfn.IFNA(IF(OR(V226="",V226=0),"",(VLOOKUP($B227,'น้ำยา-เครื่อง'!$A$14:$AF$23,V226+1,FALSE))),"")</f>
        <v/>
      </c>
      <c r="W227" s="22" t="str">
        <f>_xlfn.IFNA(IF(OR(W226="",W226=0),"",(VLOOKUP($B227,'น้ำยา-เครื่อง'!$A$14:$AF$23,W226+1,FALSE))),"")</f>
        <v/>
      </c>
      <c r="X227" s="22" t="str">
        <f>_xlfn.IFNA(IF(OR(X226="",X226=0),"",(VLOOKUP($B227,'น้ำยา-เครื่อง'!$A$14:$AF$23,X226+1,FALSE))),"")</f>
        <v/>
      </c>
      <c r="Y227" s="22" t="str">
        <f>_xlfn.IFNA(IF(OR(Y226="",Y226=0),"",(VLOOKUP($B227,'น้ำยา-เครื่อง'!$A$14:$AF$23,Y226+1,FALSE))),"")</f>
        <v/>
      </c>
      <c r="Z227" s="22" t="str">
        <f>_xlfn.IFNA(IF(OR(Z226="",Z226=0),"",(VLOOKUP($B227,'น้ำยา-เครื่อง'!$A$14:$AF$23,Z226+1,FALSE))),"")</f>
        <v/>
      </c>
      <c r="AA227" s="22" t="str">
        <f>_xlfn.IFNA(IF(OR(AA226="",AA226=0),"",(VLOOKUP($B227,'น้ำยา-เครื่อง'!$A$14:$AF$23,AA226+1,FALSE))),"")</f>
        <v/>
      </c>
      <c r="AB227" s="22" t="str">
        <f>_xlfn.IFNA(IF(OR(AB226="",AB226=0),"",(VLOOKUP($B227,'น้ำยา-เครื่อง'!$A$14:$AF$23,AB226+1,FALSE))),"")</f>
        <v/>
      </c>
      <c r="AC227" s="22" t="str">
        <f>_xlfn.IFNA(IF(OR(AC226="",AC226=0),"",(VLOOKUP($B227,'น้ำยา-เครื่อง'!$A$14:$AF$23,AC226+1,FALSE))),"")</f>
        <v/>
      </c>
      <c r="AD227" s="22" t="str">
        <f>_xlfn.IFNA(IF(OR(AD226="",AD226=0),"",(VLOOKUP($B227,'น้ำยา-เครื่อง'!$A$14:$AF$23,AD226+1,FALSE))),"")</f>
        <v/>
      </c>
      <c r="AE227" s="22" t="str">
        <f>_xlfn.IFNA(IF(OR(AE226="",AE226=0),"",(VLOOKUP($B227,'น้ำยา-เครื่อง'!$A$14:$AF$23,AE226+1,FALSE))),"")</f>
        <v/>
      </c>
      <c r="AF227" s="22" t="str">
        <f>_xlfn.IFNA(IF(OR(AF226="",AF226=0),"",(VLOOKUP($B227,'น้ำยา-เครื่อง'!$A$14:$AF$23,AF226+1,FALSE))),"")</f>
        <v/>
      </c>
      <c r="AG227" s="22" t="str">
        <f>_xlfn.IFNA(IF(OR(AG226="",AG226=0),"",(VLOOKUP($B227,'น้ำยา-เครื่อง'!$A$14:$AF$23,AG226+1,FALSE))),"")</f>
        <v/>
      </c>
    </row>
    <row r="228" spans="1:33" ht="18.75" customHeight="1" x14ac:dyDescent="0.2">
      <c r="A228" s="70" t="s">
        <v>49</v>
      </c>
      <c r="B228" s="27" t="s">
        <v>5</v>
      </c>
      <c r="C228" s="28" t="str">
        <f>C198</f>
        <v/>
      </c>
      <c r="D228" s="28" t="str">
        <f t="shared" ref="D228:AG228" si="45">D198</f>
        <v/>
      </c>
      <c r="E228" s="28" t="str">
        <f t="shared" si="45"/>
        <v/>
      </c>
      <c r="F228" s="28" t="str">
        <f t="shared" si="45"/>
        <v>O</v>
      </c>
      <c r="G228" s="28" t="str">
        <f>G198</f>
        <v>O</v>
      </c>
      <c r="H228" s="28" t="str">
        <f t="shared" si="45"/>
        <v>O</v>
      </c>
      <c r="I228" s="28" t="str">
        <f t="shared" si="45"/>
        <v/>
      </c>
      <c r="J228" s="28" t="str">
        <f t="shared" si="45"/>
        <v/>
      </c>
      <c r="K228" s="28" t="str">
        <f t="shared" si="45"/>
        <v/>
      </c>
      <c r="L228" s="28" t="str">
        <f t="shared" si="45"/>
        <v/>
      </c>
      <c r="M228" s="28" t="str">
        <f t="shared" si="45"/>
        <v/>
      </c>
      <c r="N228" s="28" t="str">
        <f t="shared" si="45"/>
        <v/>
      </c>
      <c r="O228" s="28" t="str">
        <f t="shared" si="45"/>
        <v>O</v>
      </c>
      <c r="P228" s="28" t="str">
        <f t="shared" si="45"/>
        <v>O</v>
      </c>
      <c r="Q228" s="28" t="str">
        <f t="shared" si="45"/>
        <v/>
      </c>
      <c r="R228" s="28" t="str">
        <f t="shared" si="45"/>
        <v/>
      </c>
      <c r="S228" s="28" t="str">
        <f t="shared" si="45"/>
        <v/>
      </c>
      <c r="T228" s="28" t="str">
        <f t="shared" si="45"/>
        <v>O</v>
      </c>
      <c r="U228" s="28" t="str">
        <f t="shared" si="45"/>
        <v>O</v>
      </c>
      <c r="V228" s="28" t="str">
        <f t="shared" si="45"/>
        <v>O</v>
      </c>
      <c r="W228" s="28" t="str">
        <f t="shared" si="45"/>
        <v/>
      </c>
      <c r="X228" s="28" t="str">
        <f t="shared" si="45"/>
        <v/>
      </c>
      <c r="Y228" s="28" t="str">
        <f t="shared" si="45"/>
        <v/>
      </c>
      <c r="Z228" s="28" t="str">
        <f t="shared" si="45"/>
        <v/>
      </c>
      <c r="AA228" s="28" t="str">
        <f t="shared" si="45"/>
        <v>O</v>
      </c>
      <c r="AB228" s="28" t="str">
        <f t="shared" si="45"/>
        <v>O</v>
      </c>
      <c r="AC228" s="28" t="str">
        <f t="shared" si="45"/>
        <v/>
      </c>
      <c r="AD228" s="28" t="str">
        <f t="shared" si="45"/>
        <v/>
      </c>
      <c r="AE228" s="28" t="str">
        <f t="shared" si="45"/>
        <v/>
      </c>
      <c r="AF228" s="28" t="str">
        <f t="shared" si="45"/>
        <v/>
      </c>
      <c r="AG228" s="28" t="str">
        <f t="shared" si="45"/>
        <v/>
      </c>
    </row>
    <row r="229" spans="1:33" ht="18" x14ac:dyDescent="0.2">
      <c r="A229" s="70"/>
      <c r="B229" s="27" t="s">
        <v>6</v>
      </c>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row>
    <row r="230" spans="1:33" ht="18" x14ac:dyDescent="0.2">
      <c r="A230" s="70"/>
      <c r="B230" s="27"/>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row>
    <row r="231" spans="1:33" ht="18.75" customHeight="1" x14ac:dyDescent="0.2">
      <c r="A231" s="70" t="s">
        <v>50</v>
      </c>
      <c r="B231" s="27" t="s">
        <v>5</v>
      </c>
      <c r="C231" s="28" t="str">
        <f>C201</f>
        <v/>
      </c>
      <c r="D231" s="28" t="str">
        <f t="shared" ref="D231:AG231" si="46">D201</f>
        <v/>
      </c>
      <c r="E231" s="28" t="str">
        <f>E201</f>
        <v/>
      </c>
      <c r="F231" s="28" t="str">
        <f t="shared" si="46"/>
        <v>O</v>
      </c>
      <c r="G231" s="28" t="str">
        <f t="shared" si="46"/>
        <v>O</v>
      </c>
      <c r="H231" s="28" t="str">
        <f t="shared" si="46"/>
        <v>O</v>
      </c>
      <c r="I231" s="28" t="str">
        <f t="shared" si="46"/>
        <v/>
      </c>
      <c r="J231" s="28" t="str">
        <f t="shared" si="46"/>
        <v/>
      </c>
      <c r="K231" s="28" t="str">
        <f t="shared" si="46"/>
        <v/>
      </c>
      <c r="L231" s="28" t="str">
        <f t="shared" si="46"/>
        <v/>
      </c>
      <c r="M231" s="28" t="str">
        <f t="shared" si="46"/>
        <v/>
      </c>
      <c r="N231" s="28" t="str">
        <f t="shared" si="46"/>
        <v/>
      </c>
      <c r="O231" s="28" t="str">
        <f t="shared" si="46"/>
        <v>O</v>
      </c>
      <c r="P231" s="28" t="str">
        <f t="shared" si="46"/>
        <v>O</v>
      </c>
      <c r="Q231" s="28" t="str">
        <f t="shared" si="46"/>
        <v/>
      </c>
      <c r="R231" s="28" t="str">
        <f t="shared" si="46"/>
        <v/>
      </c>
      <c r="S231" s="28" t="str">
        <f t="shared" si="46"/>
        <v/>
      </c>
      <c r="T231" s="28" t="str">
        <f t="shared" si="46"/>
        <v>O</v>
      </c>
      <c r="U231" s="28" t="str">
        <f t="shared" si="46"/>
        <v>O</v>
      </c>
      <c r="V231" s="28" t="str">
        <f t="shared" si="46"/>
        <v>O</v>
      </c>
      <c r="W231" s="28" t="str">
        <f t="shared" si="46"/>
        <v/>
      </c>
      <c r="X231" s="28" t="str">
        <f t="shared" si="46"/>
        <v/>
      </c>
      <c r="Y231" s="28" t="str">
        <f t="shared" si="46"/>
        <v/>
      </c>
      <c r="Z231" s="28" t="str">
        <f t="shared" si="46"/>
        <v/>
      </c>
      <c r="AA231" s="28" t="str">
        <f t="shared" si="46"/>
        <v>O</v>
      </c>
      <c r="AB231" s="28" t="str">
        <f t="shared" si="46"/>
        <v>O</v>
      </c>
      <c r="AC231" s="28" t="str">
        <f t="shared" si="46"/>
        <v/>
      </c>
      <c r="AD231" s="28" t="str">
        <f t="shared" si="46"/>
        <v/>
      </c>
      <c r="AE231" s="28" t="str">
        <f t="shared" si="46"/>
        <v/>
      </c>
      <c r="AF231" s="28" t="str">
        <f t="shared" si="46"/>
        <v/>
      </c>
      <c r="AG231" s="28" t="str">
        <f t="shared" si="46"/>
        <v/>
      </c>
    </row>
    <row r="232" spans="1:33" ht="18" x14ac:dyDescent="0.2">
      <c r="A232" s="70"/>
      <c r="B232" s="27" t="s">
        <v>6</v>
      </c>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row>
    <row r="233" spans="1:33" ht="18" x14ac:dyDescent="0.2">
      <c r="A233" s="70"/>
      <c r="B233" s="27"/>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row>
    <row r="234" spans="1:33" ht="18" x14ac:dyDescent="0.2">
      <c r="A234" s="70"/>
      <c r="B234" s="27" t="s">
        <v>5</v>
      </c>
      <c r="C234" s="28" t="str">
        <f>IF(C204="","",C204)</f>
        <v/>
      </c>
      <c r="D234" s="28" t="str">
        <f t="shared" ref="D234:AG234" si="47">IF(D204="","",D204)</f>
        <v/>
      </c>
      <c r="E234" s="28" t="str">
        <f t="shared" si="47"/>
        <v/>
      </c>
      <c r="F234" s="28" t="str">
        <f t="shared" si="47"/>
        <v/>
      </c>
      <c r="G234" s="28" t="str">
        <f t="shared" si="47"/>
        <v/>
      </c>
      <c r="H234" s="28" t="str">
        <f t="shared" si="47"/>
        <v/>
      </c>
      <c r="I234" s="28" t="str">
        <f t="shared" si="47"/>
        <v/>
      </c>
      <c r="J234" s="28" t="str">
        <f t="shared" si="47"/>
        <v/>
      </c>
      <c r="K234" s="28" t="str">
        <f t="shared" si="47"/>
        <v/>
      </c>
      <c r="L234" s="28" t="str">
        <f t="shared" si="47"/>
        <v/>
      </c>
      <c r="M234" s="28" t="str">
        <f t="shared" si="47"/>
        <v/>
      </c>
      <c r="N234" s="28" t="str">
        <f t="shared" si="47"/>
        <v/>
      </c>
      <c r="O234" s="28" t="str">
        <f t="shared" si="47"/>
        <v/>
      </c>
      <c r="P234" s="28" t="str">
        <f t="shared" si="47"/>
        <v/>
      </c>
      <c r="Q234" s="28" t="str">
        <f t="shared" si="47"/>
        <v/>
      </c>
      <c r="R234" s="28" t="str">
        <f t="shared" si="47"/>
        <v/>
      </c>
      <c r="S234" s="28" t="str">
        <f t="shared" si="47"/>
        <v/>
      </c>
      <c r="T234" s="28" t="str">
        <f t="shared" si="47"/>
        <v/>
      </c>
      <c r="U234" s="28" t="str">
        <f t="shared" si="47"/>
        <v/>
      </c>
      <c r="V234" s="28" t="str">
        <f t="shared" si="47"/>
        <v/>
      </c>
      <c r="W234" s="28" t="str">
        <f t="shared" si="47"/>
        <v/>
      </c>
      <c r="X234" s="28" t="str">
        <f t="shared" si="47"/>
        <v/>
      </c>
      <c r="Y234" s="28" t="str">
        <f t="shared" si="47"/>
        <v/>
      </c>
      <c r="Z234" s="28" t="str">
        <f t="shared" si="47"/>
        <v/>
      </c>
      <c r="AA234" s="28" t="str">
        <f t="shared" si="47"/>
        <v/>
      </c>
      <c r="AB234" s="28" t="str">
        <f t="shared" si="47"/>
        <v/>
      </c>
      <c r="AC234" s="28" t="str">
        <f t="shared" si="47"/>
        <v/>
      </c>
      <c r="AD234" s="28" t="str">
        <f t="shared" si="47"/>
        <v/>
      </c>
      <c r="AE234" s="28" t="str">
        <f t="shared" si="47"/>
        <v/>
      </c>
      <c r="AF234" s="28" t="str">
        <f t="shared" si="47"/>
        <v/>
      </c>
      <c r="AG234" s="28" t="str">
        <f t="shared" si="47"/>
        <v/>
      </c>
    </row>
    <row r="235" spans="1:33" ht="18" x14ac:dyDescent="0.2">
      <c r="A235" s="70"/>
      <c r="B235" s="27" t="s">
        <v>6</v>
      </c>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row>
    <row r="236" spans="1:33" ht="18" x14ac:dyDescent="0.2">
      <c r="A236" s="70"/>
      <c r="B236" s="27"/>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row>
    <row r="237" spans="1:33" ht="18" x14ac:dyDescent="0.4">
      <c r="A237" s="4" t="s">
        <v>219</v>
      </c>
      <c r="B237" s="4"/>
      <c r="C237" s="4"/>
      <c r="D237" s="4"/>
      <c r="E237" s="4"/>
      <c r="F237" s="4"/>
      <c r="G237" s="4"/>
      <c r="H237" s="4"/>
      <c r="I237" s="4"/>
      <c r="J237" s="4"/>
      <c r="K237" s="4"/>
      <c r="L237" s="4"/>
      <c r="M237" s="4"/>
      <c r="N237" s="4"/>
      <c r="O237" s="4"/>
      <c r="P237" s="4"/>
      <c r="Q237" s="4"/>
      <c r="R237" s="4"/>
      <c r="S237" s="4"/>
      <c r="T237" s="4"/>
      <c r="U237" s="10"/>
      <c r="V237" s="10"/>
      <c r="W237" s="71" t="s">
        <v>186</v>
      </c>
      <c r="X237" s="71"/>
      <c r="Y237" s="71"/>
      <c r="Z237" s="71"/>
      <c r="AA237" s="71"/>
      <c r="AB237" s="71"/>
      <c r="AC237" s="71"/>
      <c r="AD237" s="10"/>
      <c r="AE237" s="10"/>
      <c r="AF237" s="10"/>
      <c r="AG237" s="10"/>
    </row>
    <row r="238" spans="1:33" ht="18" x14ac:dyDescent="0.4">
      <c r="A238" s="7"/>
      <c r="B238" s="7"/>
      <c r="C238" s="7"/>
      <c r="D238" s="7"/>
      <c r="E238" s="7"/>
      <c r="F238" s="7"/>
      <c r="G238" s="7"/>
      <c r="H238" s="7"/>
      <c r="I238" s="7"/>
      <c r="J238" s="7"/>
      <c r="K238" s="7"/>
      <c r="L238" s="7"/>
      <c r="M238" s="7"/>
      <c r="N238" s="7"/>
      <c r="O238" s="7"/>
      <c r="P238" s="7"/>
      <c r="Q238" s="7"/>
      <c r="R238" s="7"/>
      <c r="S238" s="7"/>
      <c r="T238" s="7"/>
      <c r="U238" s="38"/>
      <c r="V238" s="38"/>
      <c r="W238" s="7"/>
      <c r="X238" s="7"/>
      <c r="Y238" s="7"/>
      <c r="Z238" s="7"/>
      <c r="AA238" s="7"/>
      <c r="AB238" s="7"/>
      <c r="AC238" s="7"/>
      <c r="AD238" s="7"/>
      <c r="AE238" s="7"/>
      <c r="AF238" s="7"/>
      <c r="AG238" s="7"/>
    </row>
    <row r="239" spans="1:33" ht="18" x14ac:dyDescent="0.4">
      <c r="A239" s="9"/>
      <c r="B239" s="9"/>
      <c r="C239" s="9"/>
      <c r="D239" s="9"/>
      <c r="E239" s="9"/>
      <c r="F239" s="9"/>
      <c r="G239" s="9"/>
      <c r="H239" s="9"/>
      <c r="I239" s="9"/>
      <c r="J239" s="9"/>
      <c r="K239" s="9"/>
      <c r="L239" s="9"/>
      <c r="M239" s="9"/>
      <c r="N239" s="9"/>
      <c r="O239" s="9"/>
      <c r="P239" s="72" t="s">
        <v>28</v>
      </c>
      <c r="Q239" s="72"/>
      <c r="R239" s="73" t="str">
        <f>IF(R209=0,"",R209)</f>
        <v>พีรวัส</v>
      </c>
      <c r="S239" s="73"/>
      <c r="T239" s="73"/>
      <c r="U239" s="97" t="s">
        <v>221</v>
      </c>
      <c r="V239" s="97"/>
      <c r="W239" s="73" t="str">
        <f>IF(W209=0,"",W209)</f>
        <v>วรพงศ์</v>
      </c>
      <c r="X239" s="73"/>
      <c r="Y239" s="73"/>
      <c r="Z239" s="8" t="s">
        <v>29</v>
      </c>
      <c r="AA239" s="74">
        <f>IF(AA209=0,"",AA209)</f>
        <v>46204</v>
      </c>
      <c r="AB239" s="73"/>
      <c r="AC239" s="73"/>
      <c r="AD239" s="9"/>
      <c r="AE239" s="73"/>
      <c r="AF239" s="73"/>
      <c r="AG239" s="73"/>
    </row>
    <row r="241" spans="1:33" ht="23.25" x14ac:dyDescent="0.5">
      <c r="A241" s="80" t="s">
        <v>210</v>
      </c>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row>
    <row r="242" spans="1:33" s="1" customFormat="1" ht="21" x14ac:dyDescent="0.45">
      <c r="A242" s="6" t="s">
        <v>22</v>
      </c>
      <c r="B242" s="81" t="s">
        <v>54</v>
      </c>
      <c r="C242" s="81"/>
      <c r="D242" s="81"/>
      <c r="E242" s="81"/>
      <c r="F242" s="81"/>
      <c r="G242" s="81"/>
      <c r="H242" s="6" t="s">
        <v>24</v>
      </c>
      <c r="I242" s="84" t="s">
        <v>55</v>
      </c>
      <c r="J242" s="88"/>
      <c r="K242" s="88"/>
      <c r="L242" s="88"/>
      <c r="M242" s="83" t="s">
        <v>25</v>
      </c>
      <c r="N242" s="83"/>
      <c r="O242" s="81" t="s">
        <v>56</v>
      </c>
      <c r="P242" s="81"/>
      <c r="Q242" s="81"/>
      <c r="R242" s="81"/>
      <c r="S242" s="81"/>
      <c r="T242" s="6" t="s">
        <v>20</v>
      </c>
      <c r="U242" s="101">
        <f>$U$2</f>
        <v>2569</v>
      </c>
      <c r="V242" s="101"/>
      <c r="W242" s="83" t="s">
        <v>35</v>
      </c>
      <c r="X242" s="83"/>
      <c r="Y242" s="83"/>
      <c r="Z242" s="1" t="s">
        <v>286</v>
      </c>
    </row>
    <row r="243" spans="1:33" ht="18.75" customHeight="1" x14ac:dyDescent="0.2">
      <c r="A243" s="20" t="s">
        <v>0</v>
      </c>
      <c r="B243" s="21" t="s">
        <v>2</v>
      </c>
      <c r="C243" s="98" t="str">
        <f>C213</f>
        <v>เดือน กรกฏาคม</v>
      </c>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row>
    <row r="244" spans="1:33" ht="18" x14ac:dyDescent="0.2">
      <c r="A244" s="23" t="s">
        <v>1</v>
      </c>
      <c r="B244" s="24" t="s">
        <v>3</v>
      </c>
      <c r="C244" s="22">
        <f>C214</f>
        <v>1</v>
      </c>
      <c r="D244" s="22">
        <f>D214</f>
        <v>2</v>
      </c>
      <c r="E244" s="22">
        <f t="shared" ref="E244:AG244" si="48">E214</f>
        <v>3</v>
      </c>
      <c r="F244" s="22">
        <f t="shared" si="48"/>
        <v>4</v>
      </c>
      <c r="G244" s="22">
        <f t="shared" si="48"/>
        <v>5</v>
      </c>
      <c r="H244" s="22">
        <f t="shared" si="48"/>
        <v>6</v>
      </c>
      <c r="I244" s="22">
        <f t="shared" si="48"/>
        <v>7</v>
      </c>
      <c r="J244" s="22">
        <f t="shared" si="48"/>
        <v>8</v>
      </c>
      <c r="K244" s="22">
        <f t="shared" si="48"/>
        <v>9</v>
      </c>
      <c r="L244" s="22">
        <f t="shared" si="48"/>
        <v>10</v>
      </c>
      <c r="M244" s="22">
        <f t="shared" si="48"/>
        <v>11</v>
      </c>
      <c r="N244" s="22">
        <f t="shared" si="48"/>
        <v>12</v>
      </c>
      <c r="O244" s="22">
        <f t="shared" si="48"/>
        <v>13</v>
      </c>
      <c r="P244" s="22">
        <f t="shared" si="48"/>
        <v>14</v>
      </c>
      <c r="Q244" s="22">
        <f t="shared" si="48"/>
        <v>15</v>
      </c>
      <c r="R244" s="22">
        <f t="shared" si="48"/>
        <v>16</v>
      </c>
      <c r="S244" s="22">
        <f t="shared" si="48"/>
        <v>17</v>
      </c>
      <c r="T244" s="22">
        <f t="shared" si="48"/>
        <v>18</v>
      </c>
      <c r="U244" s="22">
        <f t="shared" si="48"/>
        <v>19</v>
      </c>
      <c r="V244" s="22">
        <f t="shared" si="48"/>
        <v>20</v>
      </c>
      <c r="W244" s="22">
        <f t="shared" si="48"/>
        <v>21</v>
      </c>
      <c r="X244" s="22">
        <f t="shared" si="48"/>
        <v>22</v>
      </c>
      <c r="Y244" s="22">
        <f t="shared" si="48"/>
        <v>23</v>
      </c>
      <c r="Z244" s="22">
        <f t="shared" si="48"/>
        <v>24</v>
      </c>
      <c r="AA244" s="22">
        <f t="shared" si="48"/>
        <v>25</v>
      </c>
      <c r="AB244" s="22">
        <f t="shared" si="48"/>
        <v>26</v>
      </c>
      <c r="AC244" s="22">
        <f t="shared" si="48"/>
        <v>27</v>
      </c>
      <c r="AD244" s="22">
        <f t="shared" si="48"/>
        <v>28</v>
      </c>
      <c r="AE244" s="22">
        <f t="shared" si="48"/>
        <v>29</v>
      </c>
      <c r="AF244" s="22">
        <f t="shared" si="48"/>
        <v>30</v>
      </c>
      <c r="AG244" s="22">
        <f t="shared" si="48"/>
        <v>31</v>
      </c>
    </row>
    <row r="245" spans="1:33" ht="18" x14ac:dyDescent="0.2">
      <c r="A245" s="25"/>
      <c r="B245" s="26"/>
      <c r="C245" s="22" t="str">
        <f>_xlfn.IFNA(IF(OR(C244="",C244=0),"",(VLOOKUP(B245,'น้ำยา-เครื่อง'!$A:$AF,C244+1,FALSE))),"")</f>
        <v/>
      </c>
      <c r="D245" s="22" t="str">
        <f>_xlfn.IFNA(IF(OR(D244="",D244=0),"",(VLOOKUP(B245,'น้ำยา-เครื่อง'!$A:$AF,D244+1,FALSE))),"")</f>
        <v/>
      </c>
      <c r="E245" s="22" t="str">
        <f>_xlfn.IFNA(IF(OR(E244="",E244=0),"",(VLOOKUP(B245,'น้ำยา-เครื่อง'!$A:$AF,E244+1,FALSE))),"")</f>
        <v/>
      </c>
      <c r="F245" s="22" t="str">
        <f>_xlfn.IFNA(IF(OR(F244="",F244=0),"",(VLOOKUP(B245,'น้ำยา-เครื่อง'!$A:$AF,F244+1,FALSE))),"")</f>
        <v/>
      </c>
      <c r="G245" s="22" t="str">
        <f>_xlfn.IFNA(IF(OR(G244="",G244=0),"",(VLOOKUP(B245,'น้ำยา-เครื่อง'!$A:$AF,G244+1,FALSE))),"")</f>
        <v/>
      </c>
      <c r="H245" s="22" t="str">
        <f>_xlfn.IFNA(IF(OR(H244="",H244=0),"",(VLOOKUP(B245,'น้ำยา-เครื่อง'!$A:$AF,H244+1,FALSE))),"")</f>
        <v/>
      </c>
      <c r="I245" s="22" t="str">
        <f>_xlfn.IFNA(IF(OR(I244="",I244=0),"",(VLOOKUP(B245,'น้ำยา-เครื่อง'!$A:$AF,I244+1,FALSE))),"")</f>
        <v/>
      </c>
      <c r="J245" s="22" t="str">
        <f>_xlfn.IFNA(IF(OR(J244="",J244=0),"",(VLOOKUP(B245,'น้ำยา-เครื่อง'!$A:$AF,J244+1,FALSE))),"")</f>
        <v/>
      </c>
      <c r="K245" s="22" t="str">
        <f>_xlfn.IFNA(IF(OR(K244="",K244=0),"",(VLOOKUP(B245,'น้ำยา-เครื่อง'!$A:$AF,K244+1,FALSE))),"")</f>
        <v/>
      </c>
      <c r="L245" s="22" t="str">
        <f>_xlfn.IFNA(IF(OR(L244="",L244=0),"",(VLOOKUP(B245,'น้ำยา-เครื่อง'!$A:$AF,L244+1,FALSE))),"")</f>
        <v/>
      </c>
      <c r="M245" s="22" t="str">
        <f>_xlfn.IFNA(IF(OR(M244="",M244=0),"",(VLOOKUP(B245,'น้ำยา-เครื่อง'!$A:$AF,M244+1,FALSE))),"")</f>
        <v/>
      </c>
      <c r="N245" s="22" t="str">
        <f>_xlfn.IFNA(IF(OR(N244="",N244=0),"",(VLOOKUP(B245,'น้ำยา-เครื่อง'!$A:$AF,N244+1,FALSE))),"")</f>
        <v/>
      </c>
      <c r="O245" s="22" t="str">
        <f>_xlfn.IFNA(IF(OR(O244="",O244=0),"",(VLOOKUP(B245,'น้ำยา-เครื่อง'!$A:$AF,O244+1,FALSE))),"")</f>
        <v/>
      </c>
      <c r="P245" s="22" t="str">
        <f>_xlfn.IFNA(IF(OR(P244="",P244=0),"",(VLOOKUP(B245,'น้ำยา-เครื่อง'!$A:$AF,P244+1,FALSE))),"")</f>
        <v/>
      </c>
      <c r="Q245" s="22" t="str">
        <f>_xlfn.IFNA(IF(OR(Q244="",Q244=0),"",(VLOOKUP(B245,'น้ำยา-เครื่อง'!$A:$AF,Q244+1,FALSE))),"")</f>
        <v/>
      </c>
      <c r="R245" s="22" t="str">
        <f>_xlfn.IFNA(IF(OR(R244="",R244=0),"",(VLOOKUP(B245,'น้ำยา-เครื่อง'!$A:$AF,R244+1,FALSE))),"")</f>
        <v/>
      </c>
      <c r="S245" s="22" t="str">
        <f>_xlfn.IFNA(IF(OR(S244="",S244=0),"",(VLOOKUP(B245,'น้ำยา-เครื่อง'!$A:$AF,S244+1,FALSE))),"")</f>
        <v/>
      </c>
      <c r="T245" s="22" t="str">
        <f>_xlfn.IFNA(IF(OR(T244="",T244=0),"",(VLOOKUP(B245,'น้ำยา-เครื่อง'!$A:$AF,T244+1,FALSE))),"")</f>
        <v/>
      </c>
      <c r="U245" s="22" t="str">
        <f>_xlfn.IFNA(IF(OR(U244="",U244=0),"",(VLOOKUP(B245,'น้ำยา-เครื่อง'!$A:$AF,U244+1,FALSE))),"")</f>
        <v/>
      </c>
      <c r="V245" s="22" t="str">
        <f>_xlfn.IFNA(IF(OR(V244="",V244=0),"",(VLOOKUP(B245,'น้ำยา-เครื่อง'!$A:$AF,V244+1,FALSE))),"")</f>
        <v/>
      </c>
      <c r="W245" s="22" t="str">
        <f>_xlfn.IFNA(IF(OR(W244="",W244=0),"",(VLOOKUP(B245,'น้ำยา-เครื่อง'!$A:$AF,W244+1,FALSE))),"")</f>
        <v/>
      </c>
      <c r="X245" s="22" t="str">
        <f>_xlfn.IFNA(IF(OR(X244="",X244=0),"",(VLOOKUP(B245,'น้ำยา-เครื่อง'!$A:$AF,X244+1,FALSE))),"")</f>
        <v/>
      </c>
      <c r="Y245" s="22" t="str">
        <f>_xlfn.IFNA(IF(OR(Y244="",Y244=0),"",(VLOOKUP(B245,'น้ำยา-เครื่อง'!$A:$AF,Y244+1,FALSE))),"")</f>
        <v/>
      </c>
      <c r="Z245" s="22" t="str">
        <f>_xlfn.IFNA(IF(OR(Z244="",Z244=0),"",(VLOOKUP(B245,'น้ำยา-เครื่อง'!$A:$AF,Z244+1,FALSE))),"")</f>
        <v/>
      </c>
      <c r="AA245" s="22" t="str">
        <f>_xlfn.IFNA(IF(OR(AA244="",AA244=0),"",(VLOOKUP(B245,'น้ำยา-เครื่อง'!$A:$AF,AA244+1,FALSE))),"")</f>
        <v/>
      </c>
      <c r="AB245" s="22" t="str">
        <f>_xlfn.IFNA(IF(OR(AB244="",AB244=0),"",(VLOOKUP(B245,'น้ำยา-เครื่อง'!$A:$AF,AB244+1,FALSE))),"")</f>
        <v/>
      </c>
      <c r="AC245" s="22" t="str">
        <f>_xlfn.IFNA(IF(OR(AC244="",AC244=0),"",(VLOOKUP(B245,'น้ำยา-เครื่อง'!$A:$AF,AC244+1,FALSE))),"")</f>
        <v/>
      </c>
      <c r="AD245" s="22" t="str">
        <f>_xlfn.IFNA(IF(OR(AD244="",AD244=0),"",(VLOOKUP(B245,'น้ำยา-เครื่อง'!$A:$AF,AD244+1,FALSE))),"")</f>
        <v/>
      </c>
      <c r="AE245" s="22" t="str">
        <f>_xlfn.IFNA(IF(OR(AE244="",AE244=0),"",(VLOOKUP(B245,'น้ำยา-เครื่อง'!$A:$AF,AE244+1,FALSE))),"")</f>
        <v/>
      </c>
      <c r="AF245" s="22" t="str">
        <f>_xlfn.IFNA(IF(OR(AF244="",AF244=0),"",(VLOOKUP(B245,'น้ำยา-เครื่อง'!$A:$AF,AF244+1,FALSE))),"")</f>
        <v/>
      </c>
      <c r="AG245" s="22" t="str">
        <f>_xlfn.IFNA(IF(OR(AG244="",AG244=0),"",(VLOOKUP(B245,'น้ำยา-เครื่อง'!$A:$AF,AG244+1,FALSE))),"")</f>
        <v/>
      </c>
    </row>
    <row r="246" spans="1:33" ht="18.75" customHeight="1" x14ac:dyDescent="0.2">
      <c r="A246" s="70" t="s">
        <v>49</v>
      </c>
      <c r="B246" s="27" t="s">
        <v>5</v>
      </c>
      <c r="C246" s="28"/>
      <c r="D246" s="28"/>
      <c r="E246" s="28"/>
      <c r="F246" s="28"/>
      <c r="G246" s="29"/>
      <c r="H246" s="28"/>
      <c r="I246" s="28"/>
      <c r="J246" s="28"/>
      <c r="K246" s="29"/>
      <c r="L246" s="28"/>
      <c r="M246" s="28"/>
      <c r="N246" s="28"/>
      <c r="O246" s="28"/>
      <c r="P246" s="29"/>
      <c r="Q246" s="28"/>
      <c r="R246" s="28"/>
      <c r="S246" s="28"/>
      <c r="T246" s="29"/>
      <c r="U246" s="28"/>
      <c r="V246" s="28"/>
      <c r="W246" s="28"/>
      <c r="X246" s="28"/>
      <c r="Y246" s="29"/>
      <c r="Z246" s="28"/>
      <c r="AA246" s="28"/>
      <c r="AB246" s="22"/>
      <c r="AC246" s="29"/>
      <c r="AD246" s="28"/>
      <c r="AE246" s="28"/>
      <c r="AF246" s="22"/>
      <c r="AG246" s="29"/>
    </row>
    <row r="247" spans="1:33" ht="18" x14ac:dyDescent="0.2">
      <c r="A247" s="70"/>
      <c r="B247" s="27" t="s">
        <v>6</v>
      </c>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row>
    <row r="248" spans="1:33" ht="18" x14ac:dyDescent="0.2">
      <c r="A248" s="70"/>
      <c r="B248" s="27"/>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row>
    <row r="249" spans="1:33" ht="18.75" customHeight="1" x14ac:dyDescent="0.2">
      <c r="A249" s="70" t="s">
        <v>50</v>
      </c>
      <c r="B249" s="27" t="s">
        <v>5</v>
      </c>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2"/>
      <c r="AC249" s="28"/>
      <c r="AD249" s="28"/>
      <c r="AE249" s="28"/>
      <c r="AF249" s="22"/>
      <c r="AG249" s="28"/>
    </row>
    <row r="250" spans="1:33" ht="18" x14ac:dyDescent="0.2">
      <c r="A250" s="70"/>
      <c r="B250" s="27" t="s">
        <v>6</v>
      </c>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row>
    <row r="251" spans="1:33" ht="18" x14ac:dyDescent="0.2">
      <c r="A251" s="70"/>
      <c r="B251" s="27"/>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row>
    <row r="252" spans="1:33" ht="18" x14ac:dyDescent="0.2">
      <c r="A252" s="70"/>
      <c r="B252" s="27" t="s">
        <v>5</v>
      </c>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2"/>
      <c r="AC252" s="28"/>
      <c r="AD252" s="28"/>
      <c r="AE252" s="28"/>
      <c r="AF252" s="22"/>
      <c r="AG252" s="28"/>
    </row>
    <row r="253" spans="1:33" ht="18" x14ac:dyDescent="0.2">
      <c r="A253" s="70"/>
      <c r="B253" s="27" t="s">
        <v>6</v>
      </c>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row>
    <row r="254" spans="1:33" ht="18" x14ac:dyDescent="0.2">
      <c r="A254" s="70"/>
      <c r="B254" s="27"/>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row>
    <row r="255" spans="1:33" ht="18.75" customHeight="1" x14ac:dyDescent="0.2">
      <c r="A255" s="20" t="s">
        <v>0</v>
      </c>
      <c r="B255" s="21" t="s">
        <v>2</v>
      </c>
      <c r="C255" s="98" t="str">
        <f>C225</f>
        <v>เดือน สิงหาคม</v>
      </c>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row>
    <row r="256" spans="1:33" ht="18" x14ac:dyDescent="0.2">
      <c r="A256" s="23" t="s">
        <v>1</v>
      </c>
      <c r="B256" s="24" t="s">
        <v>3</v>
      </c>
      <c r="C256" s="22">
        <f>C226</f>
        <v>1</v>
      </c>
      <c r="D256" s="22">
        <f t="shared" ref="D256:AG256" si="49">D226</f>
        <v>2</v>
      </c>
      <c r="E256" s="22">
        <f t="shared" si="49"/>
        <v>3</v>
      </c>
      <c r="F256" s="22">
        <f t="shared" si="49"/>
        <v>4</v>
      </c>
      <c r="G256" s="22">
        <f t="shared" si="49"/>
        <v>5</v>
      </c>
      <c r="H256" s="22">
        <f t="shared" si="49"/>
        <v>6</v>
      </c>
      <c r="I256" s="22">
        <f t="shared" si="49"/>
        <v>7</v>
      </c>
      <c r="J256" s="22">
        <f t="shared" si="49"/>
        <v>8</v>
      </c>
      <c r="K256" s="22">
        <f t="shared" si="49"/>
        <v>9</v>
      </c>
      <c r="L256" s="22">
        <f t="shared" si="49"/>
        <v>10</v>
      </c>
      <c r="M256" s="22">
        <f t="shared" si="49"/>
        <v>11</v>
      </c>
      <c r="N256" s="22">
        <f t="shared" si="49"/>
        <v>12</v>
      </c>
      <c r="O256" s="22">
        <f t="shared" si="49"/>
        <v>13</v>
      </c>
      <c r="P256" s="22">
        <f t="shared" si="49"/>
        <v>14</v>
      </c>
      <c r="Q256" s="22">
        <f t="shared" si="49"/>
        <v>15</v>
      </c>
      <c r="R256" s="22">
        <f t="shared" si="49"/>
        <v>16</v>
      </c>
      <c r="S256" s="22">
        <f t="shared" si="49"/>
        <v>17</v>
      </c>
      <c r="T256" s="22">
        <f t="shared" si="49"/>
        <v>18</v>
      </c>
      <c r="U256" s="22">
        <f t="shared" si="49"/>
        <v>19</v>
      </c>
      <c r="V256" s="22">
        <f t="shared" si="49"/>
        <v>20</v>
      </c>
      <c r="W256" s="22">
        <f t="shared" si="49"/>
        <v>21</v>
      </c>
      <c r="X256" s="22">
        <f t="shared" si="49"/>
        <v>22</v>
      </c>
      <c r="Y256" s="22">
        <f t="shared" si="49"/>
        <v>23</v>
      </c>
      <c r="Z256" s="22">
        <f t="shared" si="49"/>
        <v>24</v>
      </c>
      <c r="AA256" s="22">
        <f t="shared" si="49"/>
        <v>25</v>
      </c>
      <c r="AB256" s="22">
        <f t="shared" si="49"/>
        <v>26</v>
      </c>
      <c r="AC256" s="22">
        <f t="shared" si="49"/>
        <v>27</v>
      </c>
      <c r="AD256" s="22">
        <f t="shared" si="49"/>
        <v>28</v>
      </c>
      <c r="AE256" s="22">
        <f t="shared" si="49"/>
        <v>29</v>
      </c>
      <c r="AF256" s="22">
        <f t="shared" si="49"/>
        <v>30</v>
      </c>
      <c r="AG256" s="22">
        <f t="shared" si="49"/>
        <v>0</v>
      </c>
    </row>
    <row r="257" spans="1:33" ht="18" x14ac:dyDescent="0.2">
      <c r="A257" s="25"/>
      <c r="B257" s="26"/>
      <c r="C257" s="22" t="str">
        <f>_xlfn.IFNA(IF(OR(C256="",C256=0),"",(VLOOKUP($B257,'น้ำยา-เครื่อง'!$A$14:$AF$23,C256+1,FALSE))),"")</f>
        <v/>
      </c>
      <c r="D257" s="22" t="str">
        <f>_xlfn.IFNA(IF(OR(D256="",D256=0),"",(VLOOKUP($B257,'น้ำยา-เครื่อง'!$A$14:$AF$23,D256+1,FALSE))),"")</f>
        <v/>
      </c>
      <c r="E257" s="22" t="str">
        <f>_xlfn.IFNA(IF(OR(E256="",E256=0),"",(VLOOKUP($B257,'น้ำยา-เครื่อง'!$A$14:$AF$23,E256+1,FALSE))),"")</f>
        <v/>
      </c>
      <c r="F257" s="22" t="str">
        <f>_xlfn.IFNA(IF(OR(F256="",F256=0),"",(VLOOKUP($B257,'น้ำยา-เครื่อง'!$A$14:$AF$23,F256+1,FALSE))),"")</f>
        <v/>
      </c>
      <c r="G257" s="22" t="str">
        <f>_xlfn.IFNA(IF(OR(G256="",G256=0),"",(VLOOKUP($B257,'น้ำยา-เครื่อง'!$A$14:$AF$23,G256+1,FALSE))),"")</f>
        <v/>
      </c>
      <c r="H257" s="22" t="str">
        <f>_xlfn.IFNA(IF(OR(H256="",H256=0),"",(VLOOKUP($B257,'น้ำยา-เครื่อง'!$A$14:$AF$23,H256+1,FALSE))),"")</f>
        <v/>
      </c>
      <c r="I257" s="22" t="str">
        <f>_xlfn.IFNA(IF(OR(I256="",I256=0),"",(VLOOKUP($B257,'น้ำยา-เครื่อง'!$A$14:$AF$23,I256+1,FALSE))),"")</f>
        <v/>
      </c>
      <c r="J257" s="22" t="str">
        <f>_xlfn.IFNA(IF(OR(J256="",J256=0),"",(VLOOKUP($B257,'น้ำยา-เครื่อง'!$A$14:$AF$23,J256+1,FALSE))),"")</f>
        <v/>
      </c>
      <c r="K257" s="22" t="str">
        <f>_xlfn.IFNA(IF(OR(K256="",K256=0),"",(VLOOKUP($B257,'น้ำยา-เครื่อง'!$A$14:$AF$23,K256+1,FALSE))),"")</f>
        <v/>
      </c>
      <c r="L257" s="22" t="str">
        <f>_xlfn.IFNA(IF(OR(L256="",L256=0),"",(VLOOKUP($B257,'น้ำยา-เครื่อง'!$A$14:$AF$23,L256+1,FALSE))),"")</f>
        <v/>
      </c>
      <c r="M257" s="22" t="str">
        <f>_xlfn.IFNA(IF(OR(M256="",M256=0),"",(VLOOKUP($B257,'น้ำยา-เครื่อง'!$A$14:$AF$23,M256+1,FALSE))),"")</f>
        <v/>
      </c>
      <c r="N257" s="22" t="str">
        <f>_xlfn.IFNA(IF(OR(N256="",N256=0),"",(VLOOKUP($B257,'น้ำยา-เครื่อง'!$A$14:$AF$23,N256+1,FALSE))),"")</f>
        <v/>
      </c>
      <c r="O257" s="22" t="str">
        <f>_xlfn.IFNA(IF(OR(O256="",O256=0),"",(VLOOKUP($B257,'น้ำยา-เครื่อง'!$A$14:$AF$23,O256+1,FALSE))),"")</f>
        <v/>
      </c>
      <c r="P257" s="22" t="str">
        <f>_xlfn.IFNA(IF(OR(P256="",P256=0),"",(VLOOKUP($B257,'น้ำยา-เครื่อง'!$A$14:$AF$23,P256+1,FALSE))),"")</f>
        <v/>
      </c>
      <c r="Q257" s="22" t="str">
        <f>_xlfn.IFNA(IF(OR(Q256="",Q256=0),"",(VLOOKUP($B257,'น้ำยา-เครื่อง'!$A$14:$AF$23,Q256+1,FALSE))),"")</f>
        <v/>
      </c>
      <c r="R257" s="22" t="str">
        <f>_xlfn.IFNA(IF(OR(R256="",R256=0),"",(VLOOKUP($B257,'น้ำยา-เครื่อง'!$A$14:$AF$23,R256+1,FALSE))),"")</f>
        <v/>
      </c>
      <c r="S257" s="22" t="str">
        <f>_xlfn.IFNA(IF(OR(S256="",S256=0),"",(VLOOKUP($B257,'น้ำยา-เครื่อง'!$A$14:$AF$23,S256+1,FALSE))),"")</f>
        <v/>
      </c>
      <c r="T257" s="22" t="str">
        <f>_xlfn.IFNA(IF(OR(T256="",T256=0),"",(VLOOKUP($B257,'น้ำยา-เครื่อง'!$A$14:$AF$23,T256+1,FALSE))),"")</f>
        <v/>
      </c>
      <c r="U257" s="22" t="str">
        <f>_xlfn.IFNA(IF(OR(U256="",U256=0),"",(VLOOKUP($B257,'น้ำยา-เครื่อง'!$A$14:$AF$23,U256+1,FALSE))),"")</f>
        <v/>
      </c>
      <c r="V257" s="22" t="str">
        <f>_xlfn.IFNA(IF(OR(V256="",V256=0),"",(VLOOKUP($B257,'น้ำยา-เครื่อง'!$A$14:$AF$23,V256+1,FALSE))),"")</f>
        <v/>
      </c>
      <c r="W257" s="22" t="str">
        <f>_xlfn.IFNA(IF(OR(W256="",W256=0),"",(VLOOKUP($B257,'น้ำยา-เครื่อง'!$A$14:$AF$23,W256+1,FALSE))),"")</f>
        <v/>
      </c>
      <c r="X257" s="22" t="str">
        <f>_xlfn.IFNA(IF(OR(X256="",X256=0),"",(VLOOKUP($B257,'น้ำยา-เครื่อง'!$A$14:$AF$23,X256+1,FALSE))),"")</f>
        <v/>
      </c>
      <c r="Y257" s="22" t="str">
        <f>_xlfn.IFNA(IF(OR(Y256="",Y256=0),"",(VLOOKUP($B257,'น้ำยา-เครื่อง'!$A$14:$AF$23,Y256+1,FALSE))),"")</f>
        <v/>
      </c>
      <c r="Z257" s="22" t="str">
        <f>_xlfn.IFNA(IF(OR(Z256="",Z256=0),"",(VLOOKUP($B257,'น้ำยา-เครื่อง'!$A$14:$AF$23,Z256+1,FALSE))),"")</f>
        <v/>
      </c>
      <c r="AA257" s="22" t="str">
        <f>_xlfn.IFNA(IF(OR(AA256="",AA256=0),"",(VLOOKUP($B257,'น้ำยา-เครื่อง'!$A$14:$AF$23,AA256+1,FALSE))),"")</f>
        <v/>
      </c>
      <c r="AB257" s="22" t="str">
        <f>_xlfn.IFNA(IF(OR(AB256="",AB256=0),"",(VLOOKUP($B257,'น้ำยา-เครื่อง'!$A$14:$AF$23,AB256+1,FALSE))),"")</f>
        <v/>
      </c>
      <c r="AC257" s="22" t="str">
        <f>_xlfn.IFNA(IF(OR(AC256="",AC256=0),"",(VLOOKUP($B257,'น้ำยา-เครื่อง'!$A$14:$AF$23,AC256+1,FALSE))),"")</f>
        <v/>
      </c>
      <c r="AD257" s="22" t="str">
        <f>_xlfn.IFNA(IF(OR(AD256="",AD256=0),"",(VLOOKUP($B257,'น้ำยา-เครื่อง'!$A$14:$AF$23,AD256+1,FALSE))),"")</f>
        <v/>
      </c>
      <c r="AE257" s="22" t="str">
        <f>_xlfn.IFNA(IF(OR(AE256="",AE256=0),"",(VLOOKUP($B257,'น้ำยา-เครื่อง'!$A$14:$AF$23,AE256+1,FALSE))),"")</f>
        <v/>
      </c>
      <c r="AF257" s="22" t="str">
        <f>_xlfn.IFNA(IF(OR(AF256="",AF256=0),"",(VLOOKUP($B257,'น้ำยา-เครื่อง'!$A$14:$AF$23,AF256+1,FALSE))),"")</f>
        <v/>
      </c>
      <c r="AG257" s="22" t="str">
        <f>_xlfn.IFNA(IF(OR(AG256="",AG256=0),"",(VLOOKUP($B257,'น้ำยา-เครื่อง'!$A$14:$AF$23,AG256+1,FALSE))),"")</f>
        <v/>
      </c>
    </row>
    <row r="258" spans="1:33" ht="18.75" customHeight="1" x14ac:dyDescent="0.2">
      <c r="A258" s="70" t="s">
        <v>49</v>
      </c>
      <c r="B258" s="27" t="s">
        <v>5</v>
      </c>
      <c r="C258" s="28"/>
      <c r="D258" s="28"/>
      <c r="E258" s="28"/>
      <c r="F258" s="28"/>
      <c r="G258" s="29"/>
      <c r="H258" s="28"/>
      <c r="I258" s="28"/>
      <c r="J258" s="28"/>
      <c r="K258" s="29"/>
      <c r="L258" s="28"/>
      <c r="M258" s="28"/>
      <c r="N258" s="28"/>
      <c r="O258" s="28"/>
      <c r="P258" s="29"/>
      <c r="Q258" s="28"/>
      <c r="R258" s="28"/>
      <c r="S258" s="28"/>
      <c r="T258" s="29"/>
      <c r="U258" s="28"/>
      <c r="V258" s="28"/>
      <c r="W258" s="28"/>
      <c r="X258" s="28"/>
      <c r="Y258" s="29"/>
      <c r="Z258" s="28"/>
      <c r="AA258" s="28"/>
      <c r="AB258" s="22"/>
      <c r="AC258" s="29"/>
      <c r="AD258" s="28"/>
      <c r="AE258" s="28"/>
      <c r="AF258" s="22"/>
      <c r="AG258" s="29"/>
    </row>
    <row r="259" spans="1:33" ht="18" x14ac:dyDescent="0.2">
      <c r="A259" s="70"/>
      <c r="B259" s="27" t="s">
        <v>6</v>
      </c>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row>
    <row r="260" spans="1:33" ht="18" x14ac:dyDescent="0.2">
      <c r="A260" s="70"/>
      <c r="B260" s="27"/>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row>
    <row r="261" spans="1:33" ht="18.75" customHeight="1" x14ac:dyDescent="0.2">
      <c r="A261" s="70" t="s">
        <v>50</v>
      </c>
      <c r="B261" s="27" t="s">
        <v>5</v>
      </c>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2"/>
      <c r="AC261" s="28"/>
      <c r="AD261" s="28"/>
      <c r="AE261" s="28"/>
      <c r="AF261" s="22"/>
      <c r="AG261" s="28"/>
    </row>
    <row r="262" spans="1:33" ht="18" x14ac:dyDescent="0.2">
      <c r="A262" s="70"/>
      <c r="B262" s="27" t="s">
        <v>6</v>
      </c>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row>
    <row r="263" spans="1:33" ht="18" x14ac:dyDescent="0.2">
      <c r="A263" s="70"/>
      <c r="B263" s="27"/>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row>
    <row r="264" spans="1:33" ht="18" x14ac:dyDescent="0.2">
      <c r="A264" s="70"/>
      <c r="B264" s="27" t="s">
        <v>5</v>
      </c>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2"/>
      <c r="AC264" s="28"/>
      <c r="AD264" s="28"/>
      <c r="AE264" s="28"/>
      <c r="AF264" s="22"/>
      <c r="AG264" s="28"/>
    </row>
    <row r="265" spans="1:33" ht="18" x14ac:dyDescent="0.2">
      <c r="A265" s="70"/>
      <c r="B265" s="27" t="s">
        <v>6</v>
      </c>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row>
    <row r="266" spans="1:33" ht="18" x14ac:dyDescent="0.2">
      <c r="A266" s="70"/>
      <c r="B266" s="27"/>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row>
    <row r="267" spans="1:33" ht="18" x14ac:dyDescent="0.4">
      <c r="A267" s="4" t="s">
        <v>219</v>
      </c>
      <c r="B267" s="4"/>
      <c r="C267" s="4"/>
      <c r="D267" s="4"/>
      <c r="E267" s="4"/>
      <c r="F267" s="4"/>
      <c r="G267" s="4"/>
      <c r="H267" s="4"/>
      <c r="I267" s="4"/>
      <c r="J267" s="4"/>
      <c r="K267" s="4"/>
      <c r="L267" s="4"/>
      <c r="M267" s="4"/>
      <c r="N267" s="4"/>
      <c r="O267" s="4"/>
      <c r="P267" s="4"/>
      <c r="Q267" s="4"/>
      <c r="R267" s="4"/>
      <c r="S267" s="4"/>
      <c r="T267" s="4"/>
      <c r="U267" s="10"/>
      <c r="V267" s="10"/>
      <c r="W267" s="71" t="s">
        <v>186</v>
      </c>
      <c r="X267" s="71"/>
      <c r="Y267" s="71"/>
      <c r="Z267" s="71"/>
      <c r="AA267" s="71"/>
      <c r="AB267" s="71"/>
      <c r="AC267" s="71"/>
      <c r="AD267" s="10"/>
      <c r="AE267" s="10"/>
      <c r="AF267" s="10"/>
      <c r="AG267" s="10"/>
    </row>
    <row r="268" spans="1:33" ht="18" x14ac:dyDescent="0.4">
      <c r="A268" s="7"/>
      <c r="B268" s="7"/>
      <c r="C268" s="7"/>
      <c r="D268" s="7"/>
      <c r="E268" s="7"/>
      <c r="F268" s="7"/>
      <c r="G268" s="7"/>
      <c r="H268" s="7"/>
      <c r="I268" s="7"/>
      <c r="J268" s="7"/>
      <c r="K268" s="7"/>
      <c r="L268" s="7"/>
      <c r="M268" s="7"/>
      <c r="N268" s="7"/>
      <c r="O268" s="7"/>
      <c r="P268" s="7"/>
      <c r="Q268" s="7"/>
      <c r="R268" s="7"/>
      <c r="S268" s="7"/>
      <c r="T268" s="7"/>
      <c r="U268" s="38"/>
      <c r="V268" s="38"/>
      <c r="W268" s="7"/>
      <c r="X268" s="7"/>
      <c r="Y268" s="7"/>
      <c r="Z268" s="7"/>
      <c r="AA268" s="7"/>
      <c r="AB268" s="7"/>
      <c r="AC268" s="7"/>
      <c r="AD268" s="7"/>
      <c r="AE268" s="7"/>
      <c r="AF268" s="7"/>
      <c r="AG268" s="7"/>
    </row>
    <row r="269" spans="1:33" ht="18" x14ac:dyDescent="0.4">
      <c r="A269" s="9"/>
      <c r="B269" s="9"/>
      <c r="C269" s="9"/>
      <c r="D269" s="9"/>
      <c r="E269" s="9"/>
      <c r="F269" s="9"/>
      <c r="G269" s="9"/>
      <c r="H269" s="9"/>
      <c r="I269" s="9"/>
      <c r="J269" s="9"/>
      <c r="K269" s="9"/>
      <c r="L269" s="9"/>
      <c r="M269" s="9"/>
      <c r="N269" s="9"/>
      <c r="O269" s="9"/>
      <c r="P269" s="72" t="s">
        <v>28</v>
      </c>
      <c r="Q269" s="72"/>
      <c r="R269" s="73" t="str">
        <f>IF(R239=0,"",R239)</f>
        <v>พีรวัส</v>
      </c>
      <c r="S269" s="73"/>
      <c r="T269" s="73"/>
      <c r="U269" s="97" t="s">
        <v>221</v>
      </c>
      <c r="V269" s="97"/>
      <c r="W269" s="73" t="str">
        <f>IF(W239=0,"",W239)</f>
        <v>วรพงศ์</v>
      </c>
      <c r="X269" s="73"/>
      <c r="Y269" s="73"/>
      <c r="Z269" s="8" t="s">
        <v>29</v>
      </c>
      <c r="AA269" s="74">
        <f>IF(AA239=0,"",AA239)</f>
        <v>46204</v>
      </c>
      <c r="AB269" s="73"/>
      <c r="AC269" s="73"/>
      <c r="AD269" s="9"/>
      <c r="AE269" s="73"/>
      <c r="AF269" s="73"/>
      <c r="AG269" s="73"/>
    </row>
    <row r="271" spans="1:33" ht="23.25" x14ac:dyDescent="0.5">
      <c r="A271" s="80" t="s">
        <v>210</v>
      </c>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row>
    <row r="272" spans="1:33" ht="21" x14ac:dyDescent="0.45">
      <c r="A272" s="6" t="s">
        <v>22</v>
      </c>
      <c r="B272" s="88" t="s">
        <v>196</v>
      </c>
      <c r="C272" s="88"/>
      <c r="D272" s="88"/>
      <c r="E272" s="88"/>
      <c r="F272" s="88"/>
      <c r="G272" s="88"/>
      <c r="H272" s="6" t="s">
        <v>24</v>
      </c>
      <c r="I272" s="84" t="s">
        <v>197</v>
      </c>
      <c r="J272" s="88"/>
      <c r="K272" s="88"/>
      <c r="L272" s="88"/>
      <c r="M272" s="83" t="s">
        <v>25</v>
      </c>
      <c r="N272" s="83"/>
      <c r="O272" s="81" t="s">
        <v>57</v>
      </c>
      <c r="P272" s="81"/>
      <c r="Q272" s="81"/>
      <c r="R272" s="81"/>
      <c r="S272" s="81"/>
      <c r="T272" s="6" t="s">
        <v>20</v>
      </c>
      <c r="U272" s="101">
        <f>$U$2</f>
        <v>2569</v>
      </c>
      <c r="V272" s="101"/>
      <c r="W272" s="83" t="s">
        <v>35</v>
      </c>
      <c r="X272" s="83"/>
      <c r="Y272" s="83"/>
      <c r="Z272" s="1" t="s">
        <v>137</v>
      </c>
      <c r="AA272" s="1"/>
      <c r="AB272" s="1"/>
      <c r="AC272" s="1"/>
    </row>
    <row r="273" spans="1:33" ht="18.75" customHeight="1" x14ac:dyDescent="0.2">
      <c r="A273" s="20" t="s">
        <v>0</v>
      </c>
      <c r="B273" s="21" t="s">
        <v>2</v>
      </c>
      <c r="C273" s="98" t="str">
        <f>C213</f>
        <v>เดือน กรกฏาคม</v>
      </c>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row>
    <row r="274" spans="1:33" ht="18" x14ac:dyDescent="0.2">
      <c r="A274" s="23" t="s">
        <v>1</v>
      </c>
      <c r="B274" s="24" t="s">
        <v>3</v>
      </c>
      <c r="C274" s="22">
        <f>C214</f>
        <v>1</v>
      </c>
      <c r="D274" s="22">
        <f>D214</f>
        <v>2</v>
      </c>
      <c r="E274" s="22">
        <f t="shared" ref="E274:AG274" si="50">E214</f>
        <v>3</v>
      </c>
      <c r="F274" s="22">
        <f t="shared" si="50"/>
        <v>4</v>
      </c>
      <c r="G274" s="22">
        <f t="shared" si="50"/>
        <v>5</v>
      </c>
      <c r="H274" s="22">
        <f t="shared" si="50"/>
        <v>6</v>
      </c>
      <c r="I274" s="22">
        <f t="shared" si="50"/>
        <v>7</v>
      </c>
      <c r="J274" s="22">
        <f t="shared" si="50"/>
        <v>8</v>
      </c>
      <c r="K274" s="22">
        <f t="shared" si="50"/>
        <v>9</v>
      </c>
      <c r="L274" s="22">
        <f t="shared" si="50"/>
        <v>10</v>
      </c>
      <c r="M274" s="22">
        <f t="shared" si="50"/>
        <v>11</v>
      </c>
      <c r="N274" s="22">
        <f t="shared" si="50"/>
        <v>12</v>
      </c>
      <c r="O274" s="22">
        <f t="shared" si="50"/>
        <v>13</v>
      </c>
      <c r="P274" s="22">
        <f t="shared" si="50"/>
        <v>14</v>
      </c>
      <c r="Q274" s="22">
        <f t="shared" si="50"/>
        <v>15</v>
      </c>
      <c r="R274" s="22">
        <f t="shared" si="50"/>
        <v>16</v>
      </c>
      <c r="S274" s="22">
        <f t="shared" si="50"/>
        <v>17</v>
      </c>
      <c r="T274" s="22">
        <f t="shared" si="50"/>
        <v>18</v>
      </c>
      <c r="U274" s="22">
        <f t="shared" si="50"/>
        <v>19</v>
      </c>
      <c r="V274" s="22">
        <f t="shared" si="50"/>
        <v>20</v>
      </c>
      <c r="W274" s="22">
        <f t="shared" si="50"/>
        <v>21</v>
      </c>
      <c r="X274" s="22">
        <f t="shared" si="50"/>
        <v>22</v>
      </c>
      <c r="Y274" s="22">
        <f t="shared" si="50"/>
        <v>23</v>
      </c>
      <c r="Z274" s="22">
        <f t="shared" si="50"/>
        <v>24</v>
      </c>
      <c r="AA274" s="22">
        <f t="shared" si="50"/>
        <v>25</v>
      </c>
      <c r="AB274" s="22">
        <f t="shared" si="50"/>
        <v>26</v>
      </c>
      <c r="AC274" s="22">
        <f t="shared" si="50"/>
        <v>27</v>
      </c>
      <c r="AD274" s="22">
        <f t="shared" si="50"/>
        <v>28</v>
      </c>
      <c r="AE274" s="22">
        <f t="shared" si="50"/>
        <v>29</v>
      </c>
      <c r="AF274" s="22">
        <f t="shared" si="50"/>
        <v>30</v>
      </c>
      <c r="AG274" s="22">
        <f t="shared" si="50"/>
        <v>31</v>
      </c>
    </row>
    <row r="275" spans="1:33" ht="18" x14ac:dyDescent="0.2">
      <c r="A275" s="25"/>
      <c r="B275" s="26" t="s">
        <v>188</v>
      </c>
      <c r="C275" s="22">
        <f>_xlfn.IFNA(IF(OR(C274="",C274=0),"",(VLOOKUP(B275,'น้ำยา-เครื่อง'!$A:$AF,C274+1,FALSE))),"")</f>
        <v>1</v>
      </c>
      <c r="D275" s="22">
        <f>_xlfn.IFNA(IF(OR(D274="",D274=0),"",(VLOOKUP(B275,'น้ำยา-เครื่อง'!$A:$AF,D274+1,FALSE))),"")</f>
        <v>1</v>
      </c>
      <c r="E275" s="22">
        <f>_xlfn.IFNA(IF(OR(E274="",E274=0),"",(VLOOKUP(B275,'น้ำยา-เครื่อง'!$A:$AF,E274+1,FALSE))),"")</f>
        <v>1</v>
      </c>
      <c r="F275" s="22">
        <f>_xlfn.IFNA(IF(OR(F274="",F274=0),"",(VLOOKUP(B275,'น้ำยา-เครื่อง'!$A:$AF,F274+1,FALSE))),"")</f>
        <v>2</v>
      </c>
      <c r="G275" s="22">
        <f>_xlfn.IFNA(IF(OR(G274="",G274=0),"",(VLOOKUP(B275,'น้ำยา-เครื่อง'!$A:$AF,G274+1,FALSE))),"")</f>
        <v>3</v>
      </c>
      <c r="H275" s="22">
        <f>_xlfn.IFNA(IF(OR(H274="",H274=0),"",(VLOOKUP(B275,'น้ำยา-เครื่อง'!$A:$AF,H274+1,FALSE))),"")</f>
        <v>1</v>
      </c>
      <c r="I275" s="22">
        <f>_xlfn.IFNA(IF(OR(I274="",I274=0),"",(VLOOKUP(B275,'น้ำยา-เครื่อง'!$A:$AF,I274+1,FALSE))),"")</f>
        <v>1</v>
      </c>
      <c r="J275" s="22">
        <f>_xlfn.IFNA(IF(OR(J274="",J274=0),"",(VLOOKUP(B275,'น้ำยา-เครื่อง'!$A:$AF,J274+1,FALSE))),"")</f>
        <v>1</v>
      </c>
      <c r="K275" s="22">
        <f>_xlfn.IFNA(IF(OR(K274="",K274=0),"",(VLOOKUP(B275,'น้ำยา-เครื่อง'!$A:$AF,K274+1,FALSE))),"")</f>
        <v>1</v>
      </c>
      <c r="L275" s="22">
        <f>_xlfn.IFNA(IF(OR(L274="",L274=0),"",(VLOOKUP(B275,'น้ำยา-เครื่อง'!$A:$AF,L274+1,FALSE))),"")</f>
        <v>1</v>
      </c>
      <c r="M275" s="22">
        <f>_xlfn.IFNA(IF(OR(M274="",M274=0),"",(VLOOKUP(B275,'น้ำยา-เครื่อง'!$A:$AF,M274+1,FALSE))),"")</f>
        <v>2</v>
      </c>
      <c r="N275" s="22">
        <f>_xlfn.IFNA(IF(OR(N274="",N274=0),"",(VLOOKUP(B275,'น้ำยา-เครื่อง'!$A:$AF,N274+1,FALSE))),"")</f>
        <v>3</v>
      </c>
      <c r="O275" s="22">
        <f>_xlfn.IFNA(IF(OR(O274="",O274=0),"",(VLOOKUP(B275,'น้ำยา-เครื่อง'!$A:$AF,O274+1,FALSE))),"")</f>
        <v>1</v>
      </c>
      <c r="P275" s="22">
        <f>_xlfn.IFNA(IF(OR(P274="",P274=0),"",(VLOOKUP(B275,'น้ำยา-เครื่อง'!$A:$AF,P274+1,FALSE))),"")</f>
        <v>1</v>
      </c>
      <c r="Q275" s="22">
        <f>_xlfn.IFNA(IF(OR(Q274="",Q274=0),"",(VLOOKUP(B275,'น้ำยา-เครื่อง'!$A:$AF,Q274+1,FALSE))),"")</f>
        <v>1</v>
      </c>
      <c r="R275" s="22">
        <f>_xlfn.IFNA(IF(OR(R274="",R274=0),"",(VLOOKUP(B275,'น้ำยา-เครื่อง'!$A:$AF,R274+1,FALSE))),"")</f>
        <v>1</v>
      </c>
      <c r="S275" s="22">
        <f>_xlfn.IFNA(IF(OR(S274="",S274=0),"",(VLOOKUP(B275,'น้ำยา-เครื่อง'!$A:$AF,S274+1,FALSE))),"")</f>
        <v>1</v>
      </c>
      <c r="T275" s="22">
        <f>_xlfn.IFNA(IF(OR(T274="",T274=0),"",(VLOOKUP(B275,'น้ำยา-เครื่อง'!$A:$AF,T274+1,FALSE))),"")</f>
        <v>2</v>
      </c>
      <c r="U275" s="22">
        <f>_xlfn.IFNA(IF(OR(U274="",U274=0),"",(VLOOKUP(B275,'น้ำยา-เครื่อง'!$A:$AF,U274+1,FALSE))),"")</f>
        <v>3</v>
      </c>
      <c r="V275" s="22">
        <f>_xlfn.IFNA(IF(OR(V274="",V274=0),"",(VLOOKUP(B275,'น้ำยา-เครื่อง'!$A:$AF,V274+1,FALSE))),"")</f>
        <v>1</v>
      </c>
      <c r="W275" s="22">
        <f>_xlfn.IFNA(IF(OR(W274="",W274=0),"",(VLOOKUP(B275,'น้ำยา-เครื่อง'!$A:$AF,W274+1,FALSE))),"")</f>
        <v>1</v>
      </c>
      <c r="X275" s="22">
        <f>_xlfn.IFNA(IF(OR(X274="",X274=0),"",(VLOOKUP(B275,'น้ำยา-เครื่อง'!$A:$AF,X274+1,FALSE))),"")</f>
        <v>1</v>
      </c>
      <c r="Y275" s="22">
        <f>_xlfn.IFNA(IF(OR(Y274="",Y274=0),"",(VLOOKUP(B275,'น้ำยา-เครื่อง'!$A:$AF,Y274+1,FALSE))),"")</f>
        <v>1</v>
      </c>
      <c r="Z275" s="22">
        <f>_xlfn.IFNA(IF(OR(Z274="",Z274=0),"",(VLOOKUP(B275,'น้ำยา-เครื่อง'!$A:$AF,Z274+1,FALSE))),"")</f>
        <v>1</v>
      </c>
      <c r="AA275" s="22">
        <f>_xlfn.IFNA(IF(OR(AA274="",AA274=0),"",(VLOOKUP(B275,'น้ำยา-เครื่อง'!$A:$AF,AA274+1,FALSE))),"")</f>
        <v>2</v>
      </c>
      <c r="AB275" s="22">
        <f>_xlfn.IFNA(IF(OR(AB274="",AB274=0),"",(VLOOKUP(B275,'น้ำยา-เครื่อง'!$A:$AF,AB274+1,FALSE))),"")</f>
        <v>3</v>
      </c>
      <c r="AC275" s="22">
        <f>_xlfn.IFNA(IF(OR(AC274="",AC274=0),"",(VLOOKUP(B275,'น้ำยา-เครื่อง'!$A:$AF,AC274+1,FALSE))),"")</f>
        <v>1</v>
      </c>
      <c r="AD275" s="22">
        <f>_xlfn.IFNA(IF(OR(AD274="",AD274=0),"",(VLOOKUP(B275,'น้ำยา-เครื่อง'!$A:$AF,AD274+1,FALSE))),"")</f>
        <v>1</v>
      </c>
      <c r="AE275" s="22">
        <f>_xlfn.IFNA(IF(OR(AE274="",AE274=0),"",(VLOOKUP(B275,'น้ำยา-เครื่อง'!$A:$AF,AE274+1,FALSE))),"")</f>
        <v>1</v>
      </c>
      <c r="AF275" s="22">
        <f>_xlfn.IFNA(IF(OR(AF274="",AF274=0),"",(VLOOKUP(B275,'น้ำยา-เครื่อง'!$A:$AF,AF274+1,FALSE))),"")</f>
        <v>1</v>
      </c>
      <c r="AG275" s="22">
        <f>_xlfn.IFNA(IF(OR(AG274="",AG274=0),"",(VLOOKUP(B275,'น้ำยา-เครื่อง'!$A:$AF,AG274+1,FALSE))),"")</f>
        <v>1</v>
      </c>
    </row>
    <row r="276" spans="1:33" ht="18.75" customHeight="1" x14ac:dyDescent="0.2">
      <c r="A276" s="70" t="s">
        <v>283</v>
      </c>
      <c r="B276" s="27" t="s">
        <v>5</v>
      </c>
      <c r="C276" s="28" t="str">
        <f>IF(OR(C275=2,C275=3),"O","")</f>
        <v/>
      </c>
      <c r="D276" s="28" t="str">
        <f>IF(OR(D275=2,D275=3),"O","")</f>
        <v/>
      </c>
      <c r="E276" s="28" t="str">
        <f t="shared" ref="E276:F276" si="51">IFERROR(IF(AND(B276="",D276="O"),"O",(IF(OR(E275=2,E275=3),"O",""))),"")</f>
        <v/>
      </c>
      <c r="F276" s="28" t="str">
        <f t="shared" si="51"/>
        <v>O</v>
      </c>
      <c r="G276" s="28" t="str">
        <f>IF(OR(G275=2,G275=3),"O",IF(AND(D276="",F276="O"),"O",""))</f>
        <v>O</v>
      </c>
      <c r="H276" s="28" t="str">
        <f t="shared" ref="H276:AG276" si="52">IF(OR(H275=2,H275=3),"O",IF(AND(E276="",G276="O"),"O",""))</f>
        <v>O</v>
      </c>
      <c r="I276" s="28" t="str">
        <f t="shared" si="52"/>
        <v/>
      </c>
      <c r="J276" s="28" t="str">
        <f t="shared" si="52"/>
        <v/>
      </c>
      <c r="K276" s="28" t="str">
        <f t="shared" si="52"/>
        <v/>
      </c>
      <c r="L276" s="28" t="str">
        <f t="shared" si="52"/>
        <v/>
      </c>
      <c r="M276" s="28" t="str">
        <f t="shared" si="52"/>
        <v>O</v>
      </c>
      <c r="N276" s="28" t="str">
        <f t="shared" si="52"/>
        <v>O</v>
      </c>
      <c r="O276" s="28" t="str">
        <f t="shared" si="52"/>
        <v>O</v>
      </c>
      <c r="P276" s="28" t="str">
        <f t="shared" si="52"/>
        <v/>
      </c>
      <c r="Q276" s="28" t="str">
        <f t="shared" si="52"/>
        <v/>
      </c>
      <c r="R276" s="28" t="str">
        <f t="shared" si="52"/>
        <v/>
      </c>
      <c r="S276" s="28" t="str">
        <f t="shared" si="52"/>
        <v/>
      </c>
      <c r="T276" s="28" t="str">
        <f t="shared" si="52"/>
        <v>O</v>
      </c>
      <c r="U276" s="28" t="str">
        <f t="shared" si="52"/>
        <v>O</v>
      </c>
      <c r="V276" s="28" t="str">
        <f t="shared" si="52"/>
        <v>O</v>
      </c>
      <c r="W276" s="28" t="str">
        <f t="shared" si="52"/>
        <v/>
      </c>
      <c r="X276" s="28" t="str">
        <f t="shared" si="52"/>
        <v/>
      </c>
      <c r="Y276" s="28" t="str">
        <f t="shared" si="52"/>
        <v/>
      </c>
      <c r="Z276" s="28" t="str">
        <f t="shared" si="52"/>
        <v/>
      </c>
      <c r="AA276" s="28" t="str">
        <f t="shared" si="52"/>
        <v>O</v>
      </c>
      <c r="AB276" s="28" t="str">
        <f t="shared" si="52"/>
        <v>O</v>
      </c>
      <c r="AC276" s="28" t="str">
        <f t="shared" si="52"/>
        <v>O</v>
      </c>
      <c r="AD276" s="28" t="str">
        <f t="shared" si="52"/>
        <v/>
      </c>
      <c r="AE276" s="28" t="str">
        <f t="shared" si="52"/>
        <v/>
      </c>
      <c r="AF276" s="28" t="str">
        <f t="shared" si="52"/>
        <v/>
      </c>
      <c r="AG276" s="28" t="str">
        <f t="shared" si="52"/>
        <v/>
      </c>
    </row>
    <row r="277" spans="1:33" ht="18" x14ac:dyDescent="0.2">
      <c r="A277" s="70"/>
      <c r="B277" s="27" t="s">
        <v>6</v>
      </c>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row>
    <row r="278" spans="1:33" ht="18" x14ac:dyDescent="0.2">
      <c r="A278" s="70"/>
      <c r="B278" s="27"/>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row>
    <row r="279" spans="1:33" ht="18.75" customHeight="1" x14ac:dyDescent="0.2">
      <c r="A279" s="70"/>
      <c r="B279" s="27" t="s">
        <v>5</v>
      </c>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row>
    <row r="280" spans="1:33" ht="18" x14ac:dyDescent="0.2">
      <c r="A280" s="70"/>
      <c r="B280" s="27" t="s">
        <v>6</v>
      </c>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row>
    <row r="281" spans="1:33" ht="18" x14ac:dyDescent="0.2">
      <c r="A281" s="70"/>
      <c r="B281" s="27"/>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row>
    <row r="282" spans="1:33" ht="18" x14ac:dyDescent="0.2">
      <c r="A282" s="70"/>
      <c r="B282" s="27" t="s">
        <v>5</v>
      </c>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2"/>
      <c r="AC282" s="28"/>
      <c r="AD282" s="28"/>
      <c r="AE282" s="28"/>
      <c r="AF282" s="22"/>
      <c r="AG282" s="28"/>
    </row>
    <row r="283" spans="1:33" ht="18" x14ac:dyDescent="0.2">
      <c r="A283" s="70"/>
      <c r="B283" s="27" t="s">
        <v>6</v>
      </c>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row>
    <row r="284" spans="1:33" ht="18" x14ac:dyDescent="0.2">
      <c r="A284" s="70"/>
      <c r="B284" s="27"/>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row>
    <row r="285" spans="1:33" ht="18.75" customHeight="1" x14ac:dyDescent="0.2">
      <c r="A285" s="20" t="s">
        <v>0</v>
      </c>
      <c r="B285" s="21" t="s">
        <v>2</v>
      </c>
      <c r="C285" s="98" t="str">
        <f>C225</f>
        <v>เดือน สิงหาคม</v>
      </c>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c r="AE285" s="99"/>
      <c r="AF285" s="99"/>
      <c r="AG285" s="99"/>
    </row>
    <row r="286" spans="1:33" ht="18" x14ac:dyDescent="0.2">
      <c r="A286" s="23" t="s">
        <v>1</v>
      </c>
      <c r="B286" s="24" t="s">
        <v>3</v>
      </c>
      <c r="C286" s="22">
        <f>C226</f>
        <v>1</v>
      </c>
      <c r="D286" s="22">
        <f t="shared" ref="D286:AG286" si="53">D226</f>
        <v>2</v>
      </c>
      <c r="E286" s="22">
        <f t="shared" si="53"/>
        <v>3</v>
      </c>
      <c r="F286" s="22">
        <f t="shared" si="53"/>
        <v>4</v>
      </c>
      <c r="G286" s="22">
        <f t="shared" si="53"/>
        <v>5</v>
      </c>
      <c r="H286" s="22">
        <f t="shared" si="53"/>
        <v>6</v>
      </c>
      <c r="I286" s="22">
        <f t="shared" si="53"/>
        <v>7</v>
      </c>
      <c r="J286" s="22">
        <f t="shared" si="53"/>
        <v>8</v>
      </c>
      <c r="K286" s="22">
        <f t="shared" si="53"/>
        <v>9</v>
      </c>
      <c r="L286" s="22">
        <f t="shared" si="53"/>
        <v>10</v>
      </c>
      <c r="M286" s="22">
        <f t="shared" si="53"/>
        <v>11</v>
      </c>
      <c r="N286" s="22">
        <f t="shared" si="53"/>
        <v>12</v>
      </c>
      <c r="O286" s="22">
        <f t="shared" si="53"/>
        <v>13</v>
      </c>
      <c r="P286" s="22">
        <f t="shared" si="53"/>
        <v>14</v>
      </c>
      <c r="Q286" s="22">
        <f t="shared" si="53"/>
        <v>15</v>
      </c>
      <c r="R286" s="22">
        <f t="shared" si="53"/>
        <v>16</v>
      </c>
      <c r="S286" s="22">
        <f t="shared" si="53"/>
        <v>17</v>
      </c>
      <c r="T286" s="22">
        <f t="shared" si="53"/>
        <v>18</v>
      </c>
      <c r="U286" s="22">
        <f t="shared" si="53"/>
        <v>19</v>
      </c>
      <c r="V286" s="22">
        <f t="shared" si="53"/>
        <v>20</v>
      </c>
      <c r="W286" s="22">
        <f t="shared" si="53"/>
        <v>21</v>
      </c>
      <c r="X286" s="22">
        <f t="shared" si="53"/>
        <v>22</v>
      </c>
      <c r="Y286" s="22">
        <f t="shared" si="53"/>
        <v>23</v>
      </c>
      <c r="Z286" s="22">
        <f t="shared" si="53"/>
        <v>24</v>
      </c>
      <c r="AA286" s="22">
        <f t="shared" si="53"/>
        <v>25</v>
      </c>
      <c r="AB286" s="22">
        <f t="shared" si="53"/>
        <v>26</v>
      </c>
      <c r="AC286" s="22">
        <f t="shared" si="53"/>
        <v>27</v>
      </c>
      <c r="AD286" s="22">
        <f t="shared" si="53"/>
        <v>28</v>
      </c>
      <c r="AE286" s="22">
        <f t="shared" si="53"/>
        <v>29</v>
      </c>
      <c r="AF286" s="22">
        <f t="shared" si="53"/>
        <v>30</v>
      </c>
      <c r="AG286" s="22">
        <f t="shared" si="53"/>
        <v>0</v>
      </c>
    </row>
    <row r="287" spans="1:33" ht="18" x14ac:dyDescent="0.2">
      <c r="A287" s="25"/>
      <c r="B287" s="26" t="s">
        <v>188</v>
      </c>
      <c r="C287" s="22">
        <f>_xlfn.IFNA(IF(OR(C286="",C286=0),"",(VLOOKUP($B287,'น้ำยา-เครื่อง'!$A$14:$AF$23,C286+1,FALSE))),"")</f>
        <v>2</v>
      </c>
      <c r="D287" s="22">
        <f>_xlfn.IFNA(IF(OR(D286="",D286=0),"",(VLOOKUP($B287,'น้ำยา-เครื่อง'!$A$14:$AF$23,D286+1,FALSE))),"")</f>
        <v>3</v>
      </c>
      <c r="E287" s="22">
        <f>_xlfn.IFNA(IF(OR(E286="",E286=0),"",(VLOOKUP($B287,'น้ำยา-เครื่อง'!$A$14:$AF$23,E286+1,FALSE))),"")</f>
        <v>1</v>
      </c>
      <c r="F287" s="22">
        <f>_xlfn.IFNA(IF(OR(F286="",F286=0),"",(VLOOKUP($B287,'น้ำยา-เครื่อง'!$A$14:$AF$23,F286+1,FALSE))),"")</f>
        <v>1</v>
      </c>
      <c r="G287" s="22">
        <f>_xlfn.IFNA(IF(OR(G286="",G286=0),"",(VLOOKUP($B287,'น้ำยา-เครื่อง'!$A$14:$AF$23,G286+1,FALSE))),"")</f>
        <v>1</v>
      </c>
      <c r="H287" s="22">
        <f>_xlfn.IFNA(IF(OR(H286="",H286=0),"",(VLOOKUP($B287,'น้ำยา-เครื่อง'!$A$14:$AF$23,H286+1,FALSE))),"")</f>
        <v>1</v>
      </c>
      <c r="I287" s="22">
        <f>_xlfn.IFNA(IF(OR(I286="",I286=0),"",(VLOOKUP($B287,'น้ำยา-เครื่อง'!$A$14:$AF$23,I286+1,FALSE))),"")</f>
        <v>1</v>
      </c>
      <c r="J287" s="22">
        <f>_xlfn.IFNA(IF(OR(J286="",J286=0),"",(VLOOKUP($B287,'น้ำยา-เครื่อง'!$A$14:$AF$23,J286+1,FALSE))),"")</f>
        <v>2</v>
      </c>
      <c r="K287" s="22">
        <f>_xlfn.IFNA(IF(OR(K286="",K286=0),"",(VLOOKUP($B287,'น้ำยา-เครื่อง'!$A$14:$AF$23,K286+1,FALSE))),"")</f>
        <v>3</v>
      </c>
      <c r="L287" s="22">
        <f>_xlfn.IFNA(IF(OR(L286="",L286=0),"",(VLOOKUP($B287,'น้ำยา-เครื่อง'!$A$14:$AF$23,L286+1,FALSE))),"")</f>
        <v>1</v>
      </c>
      <c r="M287" s="22">
        <f>_xlfn.IFNA(IF(OR(M286="",M286=0),"",(VLOOKUP($B287,'น้ำยา-เครื่อง'!$A$14:$AF$23,M286+1,FALSE))),"")</f>
        <v>1</v>
      </c>
      <c r="N287" s="22">
        <f>_xlfn.IFNA(IF(OR(N286="",N286=0),"",(VLOOKUP($B287,'น้ำยา-เครื่อง'!$A$14:$AF$23,N286+1,FALSE))),"")</f>
        <v>1</v>
      </c>
      <c r="O287" s="22">
        <f>_xlfn.IFNA(IF(OR(O286="",O286=0),"",(VLOOKUP($B287,'น้ำยา-เครื่อง'!$A$14:$AF$23,O286+1,FALSE))),"")</f>
        <v>1</v>
      </c>
      <c r="P287" s="22">
        <f>_xlfn.IFNA(IF(OR(P286="",P286=0),"",(VLOOKUP($B287,'น้ำยา-เครื่อง'!$A$14:$AF$23,P286+1,FALSE))),"")</f>
        <v>1</v>
      </c>
      <c r="Q287" s="22">
        <f>_xlfn.IFNA(IF(OR(Q286="",Q286=0),"",(VLOOKUP($B287,'น้ำยา-เครื่อง'!$A$14:$AF$23,Q286+1,FALSE))),"")</f>
        <v>2</v>
      </c>
      <c r="R287" s="22">
        <f>_xlfn.IFNA(IF(OR(R286="",R286=0),"",(VLOOKUP($B287,'น้ำยา-เครื่อง'!$A$14:$AF$23,R286+1,FALSE))),"")</f>
        <v>3</v>
      </c>
      <c r="S287" s="22">
        <f>_xlfn.IFNA(IF(OR(S286="",S286=0),"",(VLOOKUP($B287,'น้ำยา-เครื่อง'!$A$14:$AF$23,S286+1,FALSE))),"")</f>
        <v>1</v>
      </c>
      <c r="T287" s="22">
        <f>_xlfn.IFNA(IF(OR(T286="",T286=0),"",(VLOOKUP($B287,'น้ำยา-เครื่อง'!$A$14:$AF$23,T286+1,FALSE))),"")</f>
        <v>1</v>
      </c>
      <c r="U287" s="22">
        <f>_xlfn.IFNA(IF(OR(U286="",U286=0),"",(VLOOKUP($B287,'น้ำยา-เครื่อง'!$A$14:$AF$23,U286+1,FALSE))),"")</f>
        <v>1</v>
      </c>
      <c r="V287" s="22">
        <f>_xlfn.IFNA(IF(OR(V286="",V286=0),"",(VLOOKUP($B287,'น้ำยา-เครื่อง'!$A$14:$AF$23,V286+1,FALSE))),"")</f>
        <v>1</v>
      </c>
      <c r="W287" s="22">
        <f>_xlfn.IFNA(IF(OR(W286="",W286=0),"",(VLOOKUP($B287,'น้ำยา-เครื่อง'!$A$14:$AF$23,W286+1,FALSE))),"")</f>
        <v>1</v>
      </c>
      <c r="X287" s="22">
        <f>_xlfn.IFNA(IF(OR(X286="",X286=0),"",(VLOOKUP($B287,'น้ำยา-เครื่อง'!$A$14:$AF$23,X286+1,FALSE))),"")</f>
        <v>2</v>
      </c>
      <c r="Y287" s="22">
        <f>_xlfn.IFNA(IF(OR(Y286="",Y286=0),"",(VLOOKUP($B287,'น้ำยา-เครื่อง'!$A$14:$AF$23,Y286+1,FALSE))),"")</f>
        <v>3</v>
      </c>
      <c r="Z287" s="22">
        <f>_xlfn.IFNA(IF(OR(Z286="",Z286=0),"",(VLOOKUP($B287,'น้ำยา-เครื่อง'!$A$14:$AF$23,Z286+1,FALSE))),"")</f>
        <v>1</v>
      </c>
      <c r="AA287" s="22">
        <f>_xlfn.IFNA(IF(OR(AA286="",AA286=0),"",(VLOOKUP($B287,'น้ำยา-เครื่อง'!$A$14:$AF$23,AA286+1,FALSE))),"")</f>
        <v>1</v>
      </c>
      <c r="AB287" s="22">
        <f>_xlfn.IFNA(IF(OR(AB286="",AB286=0),"",(VLOOKUP($B287,'น้ำยา-เครื่อง'!$A$14:$AF$23,AB286+1,FALSE))),"")</f>
        <v>1</v>
      </c>
      <c r="AC287" s="22">
        <f>_xlfn.IFNA(IF(OR(AC286="",AC286=0),"",(VLOOKUP($B287,'น้ำยา-เครื่อง'!$A$14:$AF$23,AC286+1,FALSE))),"")</f>
        <v>1</v>
      </c>
      <c r="AD287" s="22">
        <f>_xlfn.IFNA(IF(OR(AD286="",AD286=0),"",(VLOOKUP($B287,'น้ำยา-เครื่อง'!$A$14:$AF$23,AD286+1,FALSE))),"")</f>
        <v>1</v>
      </c>
      <c r="AE287" s="22">
        <f>_xlfn.IFNA(IF(OR(AE286="",AE286=0),"",(VLOOKUP($B287,'น้ำยา-เครื่อง'!$A$14:$AF$23,AE286+1,FALSE))),"")</f>
        <v>2</v>
      </c>
      <c r="AF287" s="22">
        <f>_xlfn.IFNA(IF(OR(AF286="",AF286=0),"",(VLOOKUP($B287,'น้ำยา-เครื่อง'!$A$14:$AF$23,AF286+1,FALSE))),"")</f>
        <v>3</v>
      </c>
      <c r="AG287" s="22" t="str">
        <f>_xlfn.IFNA(IF(OR(AG286="",AG286=0),"",(VLOOKUP($B287,'น้ำยา-เครื่อง'!$A$14:$AF$23,AG286+1,FALSE))),"")</f>
        <v/>
      </c>
    </row>
    <row r="288" spans="1:33" ht="18.75" customHeight="1" x14ac:dyDescent="0.2">
      <c r="A288" s="70" t="s">
        <v>283</v>
      </c>
      <c r="B288" s="27" t="s">
        <v>5</v>
      </c>
      <c r="C288" s="28" t="str">
        <f>IF(OR(C287=2,C287=3),"O","")</f>
        <v>O</v>
      </c>
      <c r="D288" s="28" t="str">
        <f>IF(OR(D287=2,D287=3),"O","")</f>
        <v>O</v>
      </c>
      <c r="E288" s="28" t="str">
        <f t="shared" ref="E288:F288" si="54">IF(OR(E287=2,E287=3),"O",IF(AND(B288="",D288="O"),"O",""))</f>
        <v/>
      </c>
      <c r="F288" s="28" t="str">
        <f t="shared" si="54"/>
        <v/>
      </c>
      <c r="G288" s="28" t="str">
        <f>IF(OR(G287=2,G287=3),"O",IF(AND(D288="",F288="O"),"O",""))</f>
        <v/>
      </c>
      <c r="H288" s="28" t="str">
        <f t="shared" ref="H288:AG288" si="55">IF(OR(H287=2,H287=3),"O",IF(AND(E288="",G288="O"),"O",""))</f>
        <v/>
      </c>
      <c r="I288" s="28" t="str">
        <f t="shared" si="55"/>
        <v/>
      </c>
      <c r="J288" s="28" t="str">
        <f t="shared" si="55"/>
        <v>O</v>
      </c>
      <c r="K288" s="28" t="str">
        <f t="shared" si="55"/>
        <v>O</v>
      </c>
      <c r="L288" s="28" t="str">
        <f t="shared" si="55"/>
        <v>O</v>
      </c>
      <c r="M288" s="28" t="str">
        <f t="shared" si="55"/>
        <v/>
      </c>
      <c r="N288" s="28" t="str">
        <f t="shared" si="55"/>
        <v/>
      </c>
      <c r="O288" s="28" t="str">
        <f t="shared" si="55"/>
        <v/>
      </c>
      <c r="P288" s="28" t="str">
        <f t="shared" si="55"/>
        <v/>
      </c>
      <c r="Q288" s="28" t="str">
        <f t="shared" si="55"/>
        <v>O</v>
      </c>
      <c r="R288" s="28" t="str">
        <f t="shared" si="55"/>
        <v>O</v>
      </c>
      <c r="S288" s="28" t="str">
        <f t="shared" si="55"/>
        <v>O</v>
      </c>
      <c r="T288" s="28" t="str">
        <f t="shared" si="55"/>
        <v/>
      </c>
      <c r="U288" s="28" t="str">
        <f t="shared" si="55"/>
        <v/>
      </c>
      <c r="V288" s="28" t="str">
        <f t="shared" si="55"/>
        <v/>
      </c>
      <c r="W288" s="28" t="str">
        <f t="shared" si="55"/>
        <v/>
      </c>
      <c r="X288" s="28" t="str">
        <f t="shared" si="55"/>
        <v>O</v>
      </c>
      <c r="Y288" s="28" t="str">
        <f t="shared" si="55"/>
        <v>O</v>
      </c>
      <c r="Z288" s="28" t="str">
        <f t="shared" si="55"/>
        <v>O</v>
      </c>
      <c r="AA288" s="28" t="str">
        <f t="shared" si="55"/>
        <v/>
      </c>
      <c r="AB288" s="28" t="str">
        <f t="shared" si="55"/>
        <v/>
      </c>
      <c r="AC288" s="28" t="str">
        <f t="shared" si="55"/>
        <v/>
      </c>
      <c r="AD288" s="28" t="str">
        <f>IF(OR(AD287=2,AD287=3),"O",IF(AND(AA288="",AC288="O"),"O",""))</f>
        <v/>
      </c>
      <c r="AE288" s="28"/>
      <c r="AF288" s="28"/>
      <c r="AG288" s="28" t="str">
        <f t="shared" si="55"/>
        <v/>
      </c>
    </row>
    <row r="289" spans="1:33" ht="18" x14ac:dyDescent="0.2">
      <c r="A289" s="70"/>
      <c r="B289" s="27" t="s">
        <v>6</v>
      </c>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row>
    <row r="290" spans="1:33" ht="18" x14ac:dyDescent="0.2">
      <c r="A290" s="70"/>
      <c r="B290" s="27"/>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t="s">
        <v>317</v>
      </c>
      <c r="AF290" s="22"/>
      <c r="AG290" s="22"/>
    </row>
    <row r="291" spans="1:33" ht="18.75" customHeight="1" x14ac:dyDescent="0.2">
      <c r="A291" s="70"/>
      <c r="B291" s="27" t="s">
        <v>5</v>
      </c>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row>
    <row r="292" spans="1:33" ht="18" x14ac:dyDescent="0.2">
      <c r="A292" s="70"/>
      <c r="B292" s="27" t="s">
        <v>6</v>
      </c>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row>
    <row r="293" spans="1:33" ht="18" x14ac:dyDescent="0.2">
      <c r="A293" s="70"/>
      <c r="B293" s="27"/>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row>
    <row r="294" spans="1:33" ht="18" x14ac:dyDescent="0.2">
      <c r="A294" s="70"/>
      <c r="B294" s="27" t="s">
        <v>5</v>
      </c>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2"/>
      <c r="AC294" s="28"/>
      <c r="AD294" s="28"/>
      <c r="AE294" s="28"/>
      <c r="AF294" s="22"/>
      <c r="AG294" s="28"/>
    </row>
    <row r="295" spans="1:33" ht="18" x14ac:dyDescent="0.2">
      <c r="A295" s="70"/>
      <c r="B295" s="27" t="s">
        <v>6</v>
      </c>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row>
    <row r="296" spans="1:33" ht="18" x14ac:dyDescent="0.2">
      <c r="A296" s="70"/>
      <c r="B296" s="27"/>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row>
    <row r="297" spans="1:33" ht="18" x14ac:dyDescent="0.4">
      <c r="A297" s="4" t="s">
        <v>219</v>
      </c>
      <c r="B297" s="4"/>
      <c r="C297" s="4"/>
      <c r="D297" s="4"/>
      <c r="E297" s="4"/>
      <c r="F297" s="4"/>
      <c r="G297" s="4"/>
      <c r="H297" s="4"/>
      <c r="I297" s="4"/>
      <c r="J297" s="4"/>
      <c r="K297" s="4"/>
      <c r="L297" s="4"/>
      <c r="M297" s="4"/>
      <c r="N297" s="4"/>
      <c r="O297" s="4"/>
      <c r="P297" s="4"/>
      <c r="Q297" s="4"/>
      <c r="R297" s="4"/>
      <c r="S297" s="4"/>
      <c r="T297" s="4"/>
      <c r="U297" s="10"/>
      <c r="V297" s="10"/>
      <c r="W297" s="71" t="s">
        <v>186</v>
      </c>
      <c r="X297" s="71"/>
      <c r="Y297" s="71"/>
      <c r="Z297" s="71"/>
      <c r="AA297" s="71"/>
      <c r="AB297" s="71"/>
      <c r="AC297" s="71"/>
      <c r="AD297" s="10"/>
      <c r="AE297" s="10"/>
      <c r="AF297" s="10"/>
      <c r="AG297" s="10"/>
    </row>
    <row r="298" spans="1:33" ht="18" x14ac:dyDescent="0.4">
      <c r="A298" s="7"/>
      <c r="B298" s="7"/>
      <c r="C298" s="7"/>
      <c r="D298" s="7"/>
      <c r="E298" s="7"/>
      <c r="F298" s="7"/>
      <c r="G298" s="7"/>
      <c r="H298" s="7"/>
      <c r="I298" s="7"/>
      <c r="J298" s="7"/>
      <c r="K298" s="7"/>
      <c r="L298" s="7"/>
      <c r="M298" s="7"/>
      <c r="N298" s="7"/>
      <c r="O298" s="7"/>
      <c r="P298" s="7"/>
      <c r="Q298" s="7"/>
      <c r="R298" s="7"/>
      <c r="S298" s="7"/>
      <c r="T298" s="7"/>
      <c r="U298" s="38"/>
      <c r="V298" s="38"/>
      <c r="W298" s="7"/>
      <c r="X298" s="7"/>
      <c r="Y298" s="7"/>
      <c r="Z298" s="7"/>
      <c r="AA298" s="7"/>
      <c r="AB298" s="7"/>
      <c r="AC298" s="7"/>
      <c r="AD298" s="7"/>
      <c r="AE298" s="7"/>
      <c r="AF298" s="7"/>
      <c r="AG298" s="7"/>
    </row>
    <row r="299" spans="1:33" ht="18" x14ac:dyDescent="0.4">
      <c r="A299" s="9"/>
      <c r="B299" s="9"/>
      <c r="C299" s="9"/>
      <c r="D299" s="9"/>
      <c r="E299" s="9"/>
      <c r="F299" s="9"/>
      <c r="G299" s="9"/>
      <c r="H299" s="9"/>
      <c r="I299" s="9"/>
      <c r="J299" s="9"/>
      <c r="K299" s="9"/>
      <c r="L299" s="9"/>
      <c r="M299" s="9"/>
      <c r="N299" s="9"/>
      <c r="O299" s="9"/>
      <c r="P299" s="72" t="s">
        <v>28</v>
      </c>
      <c r="Q299" s="72"/>
      <c r="R299" s="73" t="str">
        <f>IF(R239=0,"",R239)</f>
        <v>พีรวัส</v>
      </c>
      <c r="S299" s="73"/>
      <c r="T299" s="73"/>
      <c r="U299" s="97" t="s">
        <v>221</v>
      </c>
      <c r="V299" s="97"/>
      <c r="W299" s="73" t="str">
        <f>IF(W239=0,"",W239)</f>
        <v>วรพงศ์</v>
      </c>
      <c r="X299" s="73"/>
      <c r="Y299" s="73"/>
      <c r="Z299" s="8" t="s">
        <v>29</v>
      </c>
      <c r="AA299" s="74">
        <f>IF(AA239=0,"",AA239)</f>
        <v>46204</v>
      </c>
      <c r="AB299" s="73"/>
      <c r="AC299" s="73"/>
      <c r="AD299" s="9"/>
      <c r="AE299" s="73"/>
      <c r="AF299" s="73"/>
      <c r="AG299" s="73"/>
    </row>
    <row r="301" spans="1:33" ht="23.25" x14ac:dyDescent="0.5">
      <c r="A301" s="80" t="s">
        <v>210</v>
      </c>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c r="AE301" s="80"/>
      <c r="AF301" s="80"/>
      <c r="AG301" s="80"/>
    </row>
    <row r="302" spans="1:33" ht="21" x14ac:dyDescent="0.45">
      <c r="A302" s="6" t="s">
        <v>22</v>
      </c>
      <c r="B302" s="81" t="s">
        <v>66</v>
      </c>
      <c r="C302" s="81"/>
      <c r="D302" s="81"/>
      <c r="E302" s="81"/>
      <c r="F302" s="81"/>
      <c r="G302" s="81"/>
      <c r="H302" s="6" t="s">
        <v>24</v>
      </c>
      <c r="I302" s="84" t="s">
        <v>67</v>
      </c>
      <c r="J302" s="88"/>
      <c r="K302" s="88"/>
      <c r="L302" s="88"/>
      <c r="M302" s="83" t="s">
        <v>25</v>
      </c>
      <c r="N302" s="83"/>
      <c r="O302" s="81" t="s">
        <v>68</v>
      </c>
      <c r="P302" s="81"/>
      <c r="Q302" s="81"/>
      <c r="R302" s="81"/>
      <c r="S302" s="81"/>
      <c r="T302" s="6" t="s">
        <v>20</v>
      </c>
      <c r="U302" s="101">
        <f>$U$2</f>
        <v>2569</v>
      </c>
      <c r="V302" s="101"/>
      <c r="W302" s="83" t="s">
        <v>35</v>
      </c>
      <c r="X302" s="83"/>
      <c r="Y302" s="83"/>
      <c r="Z302" s="1" t="s">
        <v>201</v>
      </c>
      <c r="AA302" s="1"/>
      <c r="AB302" s="1"/>
      <c r="AC302" s="1"/>
    </row>
    <row r="303" spans="1:33" ht="18.75" customHeight="1" x14ac:dyDescent="0.2">
      <c r="A303" s="20" t="s">
        <v>0</v>
      </c>
      <c r="B303" s="21" t="s">
        <v>2</v>
      </c>
      <c r="C303" s="98" t="str">
        <f>C243</f>
        <v>เดือน กรกฏาคม</v>
      </c>
      <c r="D303" s="99"/>
      <c r="E303" s="99"/>
      <c r="F303" s="99"/>
      <c r="G303" s="99"/>
      <c r="H303" s="99"/>
      <c r="I303" s="99"/>
      <c r="J303" s="99"/>
      <c r="K303" s="99"/>
      <c r="L303" s="99"/>
      <c r="M303" s="99"/>
      <c r="N303" s="99"/>
      <c r="O303" s="99"/>
      <c r="P303" s="99"/>
      <c r="Q303" s="99"/>
      <c r="R303" s="99"/>
      <c r="S303" s="99"/>
      <c r="T303" s="99"/>
      <c r="U303" s="99"/>
      <c r="V303" s="99"/>
      <c r="W303" s="99"/>
      <c r="X303" s="99"/>
      <c r="Y303" s="99"/>
      <c r="Z303" s="99"/>
      <c r="AA303" s="99"/>
      <c r="AB303" s="99"/>
      <c r="AC303" s="99"/>
      <c r="AD303" s="99"/>
      <c r="AE303" s="99"/>
      <c r="AF303" s="99"/>
      <c r="AG303" s="99"/>
    </row>
    <row r="304" spans="1:33" ht="18" x14ac:dyDescent="0.2">
      <c r="A304" s="23" t="s">
        <v>1</v>
      </c>
      <c r="B304" s="24" t="s">
        <v>3</v>
      </c>
      <c r="C304" s="22">
        <f>C244</f>
        <v>1</v>
      </c>
      <c r="D304" s="22">
        <f>D244</f>
        <v>2</v>
      </c>
      <c r="E304" s="22">
        <f t="shared" ref="E304:AG304" si="56">E244</f>
        <v>3</v>
      </c>
      <c r="F304" s="22">
        <f t="shared" si="56"/>
        <v>4</v>
      </c>
      <c r="G304" s="22">
        <f t="shared" si="56"/>
        <v>5</v>
      </c>
      <c r="H304" s="22">
        <f t="shared" si="56"/>
        <v>6</v>
      </c>
      <c r="I304" s="22">
        <f t="shared" si="56"/>
        <v>7</v>
      </c>
      <c r="J304" s="22">
        <f t="shared" si="56"/>
        <v>8</v>
      </c>
      <c r="K304" s="22">
        <f t="shared" si="56"/>
        <v>9</v>
      </c>
      <c r="L304" s="22">
        <f t="shared" si="56"/>
        <v>10</v>
      </c>
      <c r="M304" s="22">
        <f t="shared" si="56"/>
        <v>11</v>
      </c>
      <c r="N304" s="22">
        <f t="shared" si="56"/>
        <v>12</v>
      </c>
      <c r="O304" s="22">
        <f t="shared" si="56"/>
        <v>13</v>
      </c>
      <c r="P304" s="22">
        <f t="shared" si="56"/>
        <v>14</v>
      </c>
      <c r="Q304" s="22">
        <f t="shared" si="56"/>
        <v>15</v>
      </c>
      <c r="R304" s="22">
        <f t="shared" si="56"/>
        <v>16</v>
      </c>
      <c r="S304" s="22">
        <f t="shared" si="56"/>
        <v>17</v>
      </c>
      <c r="T304" s="22">
        <f t="shared" si="56"/>
        <v>18</v>
      </c>
      <c r="U304" s="22">
        <f t="shared" si="56"/>
        <v>19</v>
      </c>
      <c r="V304" s="22">
        <f t="shared" si="56"/>
        <v>20</v>
      </c>
      <c r="W304" s="22">
        <f t="shared" si="56"/>
        <v>21</v>
      </c>
      <c r="X304" s="22">
        <f t="shared" si="56"/>
        <v>22</v>
      </c>
      <c r="Y304" s="22">
        <f t="shared" si="56"/>
        <v>23</v>
      </c>
      <c r="Z304" s="22">
        <f t="shared" si="56"/>
        <v>24</v>
      </c>
      <c r="AA304" s="22">
        <f t="shared" si="56"/>
        <v>25</v>
      </c>
      <c r="AB304" s="22">
        <f t="shared" si="56"/>
        <v>26</v>
      </c>
      <c r="AC304" s="22">
        <f t="shared" si="56"/>
        <v>27</v>
      </c>
      <c r="AD304" s="22">
        <f t="shared" si="56"/>
        <v>28</v>
      </c>
      <c r="AE304" s="22">
        <f t="shared" si="56"/>
        <v>29</v>
      </c>
      <c r="AF304" s="22">
        <f t="shared" si="56"/>
        <v>30</v>
      </c>
      <c r="AG304" s="22">
        <f t="shared" si="56"/>
        <v>31</v>
      </c>
    </row>
    <row r="305" spans="1:33" ht="18" x14ac:dyDescent="0.2">
      <c r="A305" s="25"/>
      <c r="B305" s="26"/>
      <c r="C305" s="22" t="str">
        <f>_xlfn.IFNA(IF(OR(C304="",C304=0),"",(VLOOKUP(B305,'น้ำยา-เครื่อง'!$A:$AF,C304+1,FALSE))),"")</f>
        <v/>
      </c>
      <c r="D305" s="22" t="str">
        <f>_xlfn.IFNA(IF(OR(D304="",D304=0),"",(VLOOKUP(B305,'น้ำยา-เครื่อง'!$A:$AF,D304+1,FALSE))),"")</f>
        <v/>
      </c>
      <c r="E305" s="22" t="str">
        <f>_xlfn.IFNA(IF(OR(E304="",E304=0),"",(VLOOKUP(B305,'น้ำยา-เครื่อง'!$A:$AF,E304+1,FALSE))),"")</f>
        <v/>
      </c>
      <c r="F305" s="22" t="str">
        <f>_xlfn.IFNA(IF(OR(F304="",F304=0),"",(VLOOKUP(B305,'น้ำยา-เครื่อง'!$A:$AF,F304+1,FALSE))),"")</f>
        <v/>
      </c>
      <c r="G305" s="22" t="str">
        <f>_xlfn.IFNA(IF(OR(G304="",G304=0),"",(VLOOKUP(B305,'น้ำยา-เครื่อง'!$A:$AF,G304+1,FALSE))),"")</f>
        <v/>
      </c>
      <c r="H305" s="22" t="str">
        <f>_xlfn.IFNA(IF(OR(H304="",H304=0),"",(VLOOKUP(B305,'น้ำยา-เครื่อง'!$A:$AF,H304+1,FALSE))),"")</f>
        <v/>
      </c>
      <c r="I305" s="22" t="str">
        <f>_xlfn.IFNA(IF(OR(I304="",I304=0),"",(VLOOKUP(B305,'น้ำยา-เครื่อง'!$A:$AF,I304+1,FALSE))),"")</f>
        <v/>
      </c>
      <c r="J305" s="22" t="str">
        <f>_xlfn.IFNA(IF(OR(J304="",J304=0),"",(VLOOKUP(B305,'น้ำยา-เครื่อง'!$A:$AF,J304+1,FALSE))),"")</f>
        <v/>
      </c>
      <c r="K305" s="22" t="str">
        <f>_xlfn.IFNA(IF(OR(K304="",K304=0),"",(VLOOKUP(B305,'น้ำยา-เครื่อง'!$A:$AF,K304+1,FALSE))),"")</f>
        <v/>
      </c>
      <c r="L305" s="22" t="str">
        <f>_xlfn.IFNA(IF(OR(L304="",L304=0),"",(VLOOKUP(B305,'น้ำยา-เครื่อง'!$A:$AF,L304+1,FALSE))),"")</f>
        <v/>
      </c>
      <c r="M305" s="22" t="str">
        <f>_xlfn.IFNA(IF(OR(M304="",M304=0),"",(VLOOKUP(B305,'น้ำยา-เครื่อง'!$A:$AF,M304+1,FALSE))),"")</f>
        <v/>
      </c>
      <c r="N305" s="22" t="str">
        <f>_xlfn.IFNA(IF(OR(N304="",N304=0),"",(VLOOKUP(B305,'น้ำยา-เครื่อง'!$A:$AF,N304+1,FALSE))),"")</f>
        <v/>
      </c>
      <c r="O305" s="22" t="str">
        <f>_xlfn.IFNA(IF(OR(O304="",O304=0),"",(VLOOKUP(B305,'น้ำยา-เครื่อง'!$A:$AF,O304+1,FALSE))),"")</f>
        <v/>
      </c>
      <c r="P305" s="22" t="str">
        <f>_xlfn.IFNA(IF(OR(P304="",P304=0),"",(VLOOKUP(B305,'น้ำยา-เครื่อง'!$A:$AF,P304+1,FALSE))),"")</f>
        <v/>
      </c>
      <c r="Q305" s="22" t="str">
        <f>_xlfn.IFNA(IF(OR(Q304="",Q304=0),"",(VLOOKUP(B305,'น้ำยา-เครื่อง'!$A:$AF,Q304+1,FALSE))),"")</f>
        <v/>
      </c>
      <c r="R305" s="22" t="str">
        <f>_xlfn.IFNA(IF(OR(R304="",R304=0),"",(VLOOKUP(B305,'น้ำยา-เครื่อง'!$A:$AF,R304+1,FALSE))),"")</f>
        <v/>
      </c>
      <c r="S305" s="22" t="str">
        <f>_xlfn.IFNA(IF(OR(S304="",S304=0),"",(VLOOKUP(B305,'น้ำยา-เครื่อง'!$A:$AF,S304+1,FALSE))),"")</f>
        <v/>
      </c>
      <c r="T305" s="22" t="str">
        <f>_xlfn.IFNA(IF(OR(T304="",T304=0),"",(VLOOKUP(B305,'น้ำยา-เครื่อง'!$A:$AF,T304+1,FALSE))),"")</f>
        <v/>
      </c>
      <c r="U305" s="22" t="str">
        <f>_xlfn.IFNA(IF(OR(U304="",U304=0),"",(VLOOKUP(B305,'น้ำยา-เครื่อง'!$A:$AF,U304+1,FALSE))),"")</f>
        <v/>
      </c>
      <c r="V305" s="22" t="str">
        <f>_xlfn.IFNA(IF(OR(V304="",V304=0),"",(VLOOKUP(B305,'น้ำยา-เครื่อง'!$A:$AF,V304+1,FALSE))),"")</f>
        <v/>
      </c>
      <c r="W305" s="22" t="str">
        <f>_xlfn.IFNA(IF(OR(W304="",W304=0),"",(VLOOKUP(B305,'น้ำยา-เครื่อง'!$A:$AF,W304+1,FALSE))),"")</f>
        <v/>
      </c>
      <c r="X305" s="22" t="str">
        <f>_xlfn.IFNA(IF(OR(X304="",X304=0),"",(VLOOKUP(B305,'น้ำยา-เครื่อง'!$A:$AF,X304+1,FALSE))),"")</f>
        <v/>
      </c>
      <c r="Y305" s="22" t="str">
        <f>_xlfn.IFNA(IF(OR(Y304="",Y304=0),"",(VLOOKUP(B305,'น้ำยา-เครื่อง'!$A:$AF,Y304+1,FALSE))),"")</f>
        <v/>
      </c>
      <c r="Z305" s="22" t="str">
        <f>_xlfn.IFNA(IF(OR(Z304="",Z304=0),"",(VLOOKUP(B305,'น้ำยา-เครื่อง'!$A:$AF,Z304+1,FALSE))),"")</f>
        <v/>
      </c>
      <c r="AA305" s="22" t="str">
        <f>_xlfn.IFNA(IF(OR(AA304="",AA304=0),"",(VLOOKUP(B305,'น้ำยา-เครื่อง'!$A:$AF,AA304+1,FALSE))),"")</f>
        <v/>
      </c>
      <c r="AB305" s="22" t="str">
        <f>_xlfn.IFNA(IF(OR(AB304="",AB304=0),"",(VLOOKUP(B305,'น้ำยา-เครื่อง'!$A:$AF,AB304+1,FALSE))),"")</f>
        <v/>
      </c>
      <c r="AC305" s="22" t="str">
        <f>_xlfn.IFNA(IF(OR(AC304="",AC304=0),"",(VLOOKUP(B305,'น้ำยา-เครื่อง'!$A:$AF,AC304+1,FALSE))),"")</f>
        <v/>
      </c>
      <c r="AD305" s="22" t="str">
        <f>_xlfn.IFNA(IF(OR(AD304="",AD304=0),"",(VLOOKUP(B305,'น้ำยา-เครื่อง'!$A:$AF,AD304+1,FALSE))),"")</f>
        <v/>
      </c>
      <c r="AE305" s="22" t="str">
        <f>_xlfn.IFNA(IF(OR(AE304="",AE304=0),"",(VLOOKUP(B305,'น้ำยา-เครื่อง'!$A:$AF,AE304+1,FALSE))),"")</f>
        <v/>
      </c>
      <c r="AF305" s="22" t="str">
        <f>_xlfn.IFNA(IF(OR(AF304="",AF304=0),"",(VLOOKUP(B305,'น้ำยา-เครื่อง'!$A:$AF,AF304+1,FALSE))),"")</f>
        <v/>
      </c>
      <c r="AG305" s="22" t="str">
        <f>_xlfn.IFNA(IF(OR(AG304="",AG304=0),"",(VLOOKUP(B305,'น้ำยา-เครื่อง'!$A:$AF,AG304+1,FALSE))),"")</f>
        <v/>
      </c>
    </row>
    <row r="306" spans="1:33" ht="18.75" customHeight="1" x14ac:dyDescent="0.2">
      <c r="A306" s="70" t="s">
        <v>70</v>
      </c>
      <c r="B306" s="27" t="s">
        <v>5</v>
      </c>
      <c r="C306" s="28"/>
      <c r="D306" s="28"/>
      <c r="E306" s="28"/>
      <c r="F306" s="28"/>
      <c r="G306" s="29"/>
      <c r="H306" s="28"/>
      <c r="I306" s="28"/>
      <c r="J306" s="28"/>
      <c r="K306" s="29"/>
      <c r="L306" s="28"/>
      <c r="M306" s="28"/>
      <c r="N306" s="28"/>
      <c r="O306" s="28"/>
      <c r="P306" s="29"/>
      <c r="Q306" s="28"/>
      <c r="R306" s="28"/>
      <c r="S306" s="28"/>
      <c r="T306" s="29"/>
      <c r="U306" s="28"/>
      <c r="V306" s="28"/>
      <c r="W306" s="28"/>
      <c r="X306" s="28"/>
      <c r="Y306" s="29"/>
      <c r="Z306" s="28"/>
      <c r="AA306" s="28"/>
      <c r="AB306" s="22"/>
      <c r="AC306" s="29"/>
      <c r="AD306" s="28"/>
      <c r="AE306" s="28"/>
      <c r="AF306" s="22"/>
      <c r="AG306" s="29"/>
    </row>
    <row r="307" spans="1:33" ht="18" x14ac:dyDescent="0.2">
      <c r="A307" s="70"/>
      <c r="B307" s="27" t="s">
        <v>6</v>
      </c>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row>
    <row r="308" spans="1:33" ht="18" x14ac:dyDescent="0.2">
      <c r="A308" s="70"/>
      <c r="B308" s="27"/>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row>
    <row r="309" spans="1:33" ht="18.75" customHeight="1" x14ac:dyDescent="0.2">
      <c r="A309" s="70"/>
      <c r="B309" s="27" t="s">
        <v>5</v>
      </c>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2"/>
      <c r="AC309" s="28"/>
      <c r="AD309" s="28"/>
      <c r="AE309" s="28"/>
      <c r="AF309" s="22"/>
      <c r="AG309" s="28"/>
    </row>
    <row r="310" spans="1:33" ht="18" x14ac:dyDescent="0.2">
      <c r="A310" s="70"/>
      <c r="B310" s="27" t="s">
        <v>6</v>
      </c>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row>
    <row r="311" spans="1:33" ht="18" x14ac:dyDescent="0.2">
      <c r="A311" s="70"/>
      <c r="B311" s="27"/>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row>
    <row r="312" spans="1:33" ht="18" x14ac:dyDescent="0.2">
      <c r="A312" s="70"/>
      <c r="B312" s="27" t="s">
        <v>5</v>
      </c>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2"/>
      <c r="AC312" s="28"/>
      <c r="AD312" s="28"/>
      <c r="AE312" s="28"/>
      <c r="AF312" s="22"/>
      <c r="AG312" s="28"/>
    </row>
    <row r="313" spans="1:33" ht="18" x14ac:dyDescent="0.2">
      <c r="A313" s="70"/>
      <c r="B313" s="27" t="s">
        <v>6</v>
      </c>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row>
    <row r="314" spans="1:33" ht="18" x14ac:dyDescent="0.2">
      <c r="A314" s="70"/>
      <c r="B314" s="27"/>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row>
    <row r="315" spans="1:33" ht="18.75" customHeight="1" x14ac:dyDescent="0.2">
      <c r="A315" s="20" t="s">
        <v>0</v>
      </c>
      <c r="B315" s="21" t="s">
        <v>2</v>
      </c>
      <c r="C315" s="98" t="str">
        <f>C255</f>
        <v>เดือน สิงหาคม</v>
      </c>
      <c r="D315" s="99"/>
      <c r="E315" s="99"/>
      <c r="F315" s="99"/>
      <c r="G315" s="99"/>
      <c r="H315" s="99"/>
      <c r="I315" s="99"/>
      <c r="J315" s="99"/>
      <c r="K315" s="99"/>
      <c r="L315" s="99"/>
      <c r="M315" s="99"/>
      <c r="N315" s="99"/>
      <c r="O315" s="99"/>
      <c r="P315" s="99"/>
      <c r="Q315" s="99"/>
      <c r="R315" s="99"/>
      <c r="S315" s="99"/>
      <c r="T315" s="99"/>
      <c r="U315" s="99"/>
      <c r="V315" s="99"/>
      <c r="W315" s="99"/>
      <c r="X315" s="99"/>
      <c r="Y315" s="99"/>
      <c r="Z315" s="99"/>
      <c r="AA315" s="99"/>
      <c r="AB315" s="99"/>
      <c r="AC315" s="99"/>
      <c r="AD315" s="99"/>
      <c r="AE315" s="99"/>
      <c r="AF315" s="99"/>
      <c r="AG315" s="99"/>
    </row>
    <row r="316" spans="1:33" ht="18" x14ac:dyDescent="0.2">
      <c r="A316" s="23" t="s">
        <v>1</v>
      </c>
      <c r="B316" s="24" t="s">
        <v>3</v>
      </c>
      <c r="C316" s="22">
        <f>C256</f>
        <v>1</v>
      </c>
      <c r="D316" s="22">
        <f t="shared" ref="D316:AG316" si="57">D256</f>
        <v>2</v>
      </c>
      <c r="E316" s="22">
        <f t="shared" si="57"/>
        <v>3</v>
      </c>
      <c r="F316" s="22">
        <f t="shared" si="57"/>
        <v>4</v>
      </c>
      <c r="G316" s="22">
        <f t="shared" si="57"/>
        <v>5</v>
      </c>
      <c r="H316" s="22">
        <f t="shared" si="57"/>
        <v>6</v>
      </c>
      <c r="I316" s="22">
        <f t="shared" si="57"/>
        <v>7</v>
      </c>
      <c r="J316" s="22">
        <f t="shared" si="57"/>
        <v>8</v>
      </c>
      <c r="K316" s="22">
        <f t="shared" si="57"/>
        <v>9</v>
      </c>
      <c r="L316" s="22">
        <f t="shared" si="57"/>
        <v>10</v>
      </c>
      <c r="M316" s="22">
        <f t="shared" si="57"/>
        <v>11</v>
      </c>
      <c r="N316" s="22">
        <f t="shared" si="57"/>
        <v>12</v>
      </c>
      <c r="O316" s="22">
        <f t="shared" si="57"/>
        <v>13</v>
      </c>
      <c r="P316" s="22">
        <f t="shared" si="57"/>
        <v>14</v>
      </c>
      <c r="Q316" s="22">
        <f t="shared" si="57"/>
        <v>15</v>
      </c>
      <c r="R316" s="22">
        <f t="shared" si="57"/>
        <v>16</v>
      </c>
      <c r="S316" s="22">
        <f t="shared" si="57"/>
        <v>17</v>
      </c>
      <c r="T316" s="22">
        <f t="shared" si="57"/>
        <v>18</v>
      </c>
      <c r="U316" s="22">
        <f t="shared" si="57"/>
        <v>19</v>
      </c>
      <c r="V316" s="22">
        <f t="shared" si="57"/>
        <v>20</v>
      </c>
      <c r="W316" s="22">
        <f t="shared" si="57"/>
        <v>21</v>
      </c>
      <c r="X316" s="22">
        <f t="shared" si="57"/>
        <v>22</v>
      </c>
      <c r="Y316" s="22">
        <f t="shared" si="57"/>
        <v>23</v>
      </c>
      <c r="Z316" s="22">
        <f t="shared" si="57"/>
        <v>24</v>
      </c>
      <c r="AA316" s="22">
        <f t="shared" si="57"/>
        <v>25</v>
      </c>
      <c r="AB316" s="22">
        <f t="shared" si="57"/>
        <v>26</v>
      </c>
      <c r="AC316" s="22">
        <f t="shared" si="57"/>
        <v>27</v>
      </c>
      <c r="AD316" s="22">
        <f t="shared" si="57"/>
        <v>28</v>
      </c>
      <c r="AE316" s="22">
        <f t="shared" si="57"/>
        <v>29</v>
      </c>
      <c r="AF316" s="22">
        <f t="shared" si="57"/>
        <v>30</v>
      </c>
      <c r="AG316" s="22">
        <f t="shared" si="57"/>
        <v>0</v>
      </c>
    </row>
    <row r="317" spans="1:33" ht="18" x14ac:dyDescent="0.2">
      <c r="A317" s="25"/>
      <c r="B317" s="26"/>
      <c r="C317" s="22" t="str">
        <f>_xlfn.IFNA(IF(OR(C316="",C316=0),"",(VLOOKUP($B317,'น้ำยา-เครื่อง'!$A$14:$AF$23,C316+1,FALSE))),"")</f>
        <v/>
      </c>
      <c r="D317" s="22" t="str">
        <f>_xlfn.IFNA(IF(OR(D316="",D316=0),"",(VLOOKUP($B317,'น้ำยา-เครื่อง'!$A$14:$AF$23,D316+1,FALSE))),"")</f>
        <v/>
      </c>
      <c r="E317" s="22" t="str">
        <f>_xlfn.IFNA(IF(OR(E316="",E316=0),"",(VLOOKUP($B317,'น้ำยา-เครื่อง'!$A$14:$AF$23,E316+1,FALSE))),"")</f>
        <v/>
      </c>
      <c r="F317" s="22" t="str">
        <f>_xlfn.IFNA(IF(OR(F316="",F316=0),"",(VLOOKUP($B317,'น้ำยา-เครื่อง'!$A$14:$AF$23,F316+1,FALSE))),"")</f>
        <v/>
      </c>
      <c r="G317" s="22" t="str">
        <f>_xlfn.IFNA(IF(OR(G316="",G316=0),"",(VLOOKUP($B317,'น้ำยา-เครื่อง'!$A$14:$AF$23,G316+1,FALSE))),"")</f>
        <v/>
      </c>
      <c r="H317" s="22" t="str">
        <f>_xlfn.IFNA(IF(OR(H316="",H316=0),"",(VLOOKUP($B317,'น้ำยา-เครื่อง'!$A$14:$AF$23,H316+1,FALSE))),"")</f>
        <v/>
      </c>
      <c r="I317" s="22" t="str">
        <f>_xlfn.IFNA(IF(OR(I316="",I316=0),"",(VLOOKUP($B317,'น้ำยา-เครื่อง'!$A$14:$AF$23,I316+1,FALSE))),"")</f>
        <v/>
      </c>
      <c r="J317" s="22" t="str">
        <f>_xlfn.IFNA(IF(OR(J316="",J316=0),"",(VLOOKUP($B317,'น้ำยา-เครื่อง'!$A$14:$AF$23,J316+1,FALSE))),"")</f>
        <v/>
      </c>
      <c r="K317" s="22" t="str">
        <f>_xlfn.IFNA(IF(OR(K316="",K316=0),"",(VLOOKUP($B317,'น้ำยา-เครื่อง'!$A$14:$AF$23,K316+1,FALSE))),"")</f>
        <v/>
      </c>
      <c r="L317" s="22" t="str">
        <f>_xlfn.IFNA(IF(OR(L316="",L316=0),"",(VLOOKUP($B317,'น้ำยา-เครื่อง'!$A$14:$AF$23,L316+1,FALSE))),"")</f>
        <v/>
      </c>
      <c r="M317" s="22" t="str">
        <f>_xlfn.IFNA(IF(OR(M316="",M316=0),"",(VLOOKUP($B317,'น้ำยา-เครื่อง'!$A$14:$AF$23,M316+1,FALSE))),"")</f>
        <v/>
      </c>
      <c r="N317" s="22" t="str">
        <f>_xlfn.IFNA(IF(OR(N316="",N316=0),"",(VLOOKUP($B317,'น้ำยา-เครื่อง'!$A$14:$AF$23,N316+1,FALSE))),"")</f>
        <v/>
      </c>
      <c r="O317" s="22" t="str">
        <f>_xlfn.IFNA(IF(OR(O316="",O316=0),"",(VLOOKUP($B317,'น้ำยา-เครื่อง'!$A$14:$AF$23,O316+1,FALSE))),"")</f>
        <v/>
      </c>
      <c r="P317" s="22" t="str">
        <f>_xlfn.IFNA(IF(OR(P316="",P316=0),"",(VLOOKUP($B317,'น้ำยา-เครื่อง'!$A$14:$AF$23,P316+1,FALSE))),"")</f>
        <v/>
      </c>
      <c r="Q317" s="22" t="str">
        <f>_xlfn.IFNA(IF(OR(Q316="",Q316=0),"",(VLOOKUP($B317,'น้ำยา-เครื่อง'!$A$14:$AF$23,Q316+1,FALSE))),"")</f>
        <v/>
      </c>
      <c r="R317" s="22" t="str">
        <f>_xlfn.IFNA(IF(OR(R316="",R316=0),"",(VLOOKUP($B317,'น้ำยา-เครื่อง'!$A$14:$AF$23,R316+1,FALSE))),"")</f>
        <v/>
      </c>
      <c r="S317" s="22" t="str">
        <f>_xlfn.IFNA(IF(OR(S316="",S316=0),"",(VLOOKUP($B317,'น้ำยา-เครื่อง'!$A$14:$AF$23,S316+1,FALSE))),"")</f>
        <v/>
      </c>
      <c r="T317" s="22" t="str">
        <f>_xlfn.IFNA(IF(OR(T316="",T316=0),"",(VLOOKUP($B317,'น้ำยา-เครื่อง'!$A$14:$AF$23,T316+1,FALSE))),"")</f>
        <v/>
      </c>
      <c r="U317" s="22" t="str">
        <f>_xlfn.IFNA(IF(OR(U316="",U316=0),"",(VLOOKUP($B317,'น้ำยา-เครื่อง'!$A$14:$AF$23,U316+1,FALSE))),"")</f>
        <v/>
      </c>
      <c r="V317" s="22" t="str">
        <f>_xlfn.IFNA(IF(OR(V316="",V316=0),"",(VLOOKUP($B317,'น้ำยา-เครื่อง'!$A$14:$AF$23,V316+1,FALSE))),"")</f>
        <v/>
      </c>
      <c r="W317" s="22" t="str">
        <f>_xlfn.IFNA(IF(OR(W316="",W316=0),"",(VLOOKUP($B317,'น้ำยา-เครื่อง'!$A$14:$AF$23,W316+1,FALSE))),"")</f>
        <v/>
      </c>
      <c r="X317" s="22" t="str">
        <f>_xlfn.IFNA(IF(OR(X316="",X316=0),"",(VLOOKUP($B317,'น้ำยา-เครื่อง'!$A$14:$AF$23,X316+1,FALSE))),"")</f>
        <v/>
      </c>
      <c r="Y317" s="22" t="str">
        <f>_xlfn.IFNA(IF(OR(Y316="",Y316=0),"",(VLOOKUP($B317,'น้ำยา-เครื่อง'!$A$14:$AF$23,Y316+1,FALSE))),"")</f>
        <v/>
      </c>
      <c r="Z317" s="22" t="str">
        <f>_xlfn.IFNA(IF(OR(Z316="",Z316=0),"",(VLOOKUP($B317,'น้ำยา-เครื่อง'!$A$14:$AF$23,Z316+1,FALSE))),"")</f>
        <v/>
      </c>
      <c r="AA317" s="22" t="str">
        <f>_xlfn.IFNA(IF(OR(AA316="",AA316=0),"",(VLOOKUP($B317,'น้ำยา-เครื่อง'!$A$14:$AF$23,AA316+1,FALSE))),"")</f>
        <v/>
      </c>
      <c r="AB317" s="22" t="str">
        <f>_xlfn.IFNA(IF(OR(AB316="",AB316=0),"",(VLOOKUP($B317,'น้ำยา-เครื่อง'!$A$14:$AF$23,AB316+1,FALSE))),"")</f>
        <v/>
      </c>
      <c r="AC317" s="22" t="str">
        <f>_xlfn.IFNA(IF(OR(AC316="",AC316=0),"",(VLOOKUP($B317,'น้ำยา-เครื่อง'!$A$14:$AF$23,AC316+1,FALSE))),"")</f>
        <v/>
      </c>
      <c r="AD317" s="22" t="str">
        <f>_xlfn.IFNA(IF(OR(AD316="",AD316=0),"",(VLOOKUP($B317,'น้ำยา-เครื่อง'!$A$14:$AF$23,AD316+1,FALSE))),"")</f>
        <v/>
      </c>
      <c r="AE317" s="22" t="str">
        <f>_xlfn.IFNA(IF(OR(AE316="",AE316=0),"",(VLOOKUP($B317,'น้ำยา-เครื่อง'!$A$14:$AF$23,AE316+1,FALSE))),"")</f>
        <v/>
      </c>
      <c r="AF317" s="22" t="str">
        <f>_xlfn.IFNA(IF(OR(AF316="",AF316=0),"",(VLOOKUP($B317,'น้ำยา-เครื่อง'!$A$14:$AF$23,AF316+1,FALSE))),"")</f>
        <v/>
      </c>
      <c r="AG317" s="22" t="str">
        <f>_xlfn.IFNA(IF(OR(AG316="",AG316=0),"",(VLOOKUP($B317,'น้ำยา-เครื่อง'!$A$14:$AF$23,AG316+1,FALSE))),"")</f>
        <v/>
      </c>
    </row>
    <row r="318" spans="1:33" ht="18.75" customHeight="1" x14ac:dyDescent="0.2">
      <c r="A318" s="70" t="s">
        <v>70</v>
      </c>
      <c r="B318" s="27" t="s">
        <v>5</v>
      </c>
      <c r="C318" s="28"/>
      <c r="D318" s="28"/>
      <c r="E318" s="28"/>
      <c r="F318" s="28"/>
      <c r="G318" s="29"/>
      <c r="H318" s="28"/>
      <c r="I318" s="28"/>
      <c r="J318" s="28"/>
      <c r="K318" s="29"/>
      <c r="L318" s="28"/>
      <c r="M318" s="28"/>
      <c r="N318" s="28"/>
      <c r="O318" s="28"/>
      <c r="P318" s="29"/>
      <c r="Q318" s="28"/>
      <c r="R318" s="28"/>
      <c r="S318" s="28"/>
      <c r="T318" s="29"/>
      <c r="U318" s="28"/>
      <c r="V318" s="28"/>
      <c r="W318" s="28"/>
      <c r="X318" s="28"/>
      <c r="Y318" s="29"/>
      <c r="Z318" s="28"/>
      <c r="AA318" s="28"/>
      <c r="AB318" s="22"/>
      <c r="AC318" s="29"/>
      <c r="AD318" s="28"/>
      <c r="AE318" s="28"/>
      <c r="AF318" s="22"/>
      <c r="AG318" s="29"/>
    </row>
    <row r="319" spans="1:33" ht="18" x14ac:dyDescent="0.2">
      <c r="A319" s="70"/>
      <c r="B319" s="27" t="s">
        <v>6</v>
      </c>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row>
    <row r="320" spans="1:33" ht="18" x14ac:dyDescent="0.2">
      <c r="A320" s="70"/>
      <c r="B320" s="27"/>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row>
    <row r="321" spans="1:33" ht="18.75" customHeight="1" x14ac:dyDescent="0.2">
      <c r="A321" s="70"/>
      <c r="B321" s="27" t="s">
        <v>5</v>
      </c>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2"/>
      <c r="AC321" s="28"/>
      <c r="AD321" s="28"/>
      <c r="AE321" s="28"/>
      <c r="AF321" s="22"/>
      <c r="AG321" s="28"/>
    </row>
    <row r="322" spans="1:33" ht="18" x14ac:dyDescent="0.2">
      <c r="A322" s="70"/>
      <c r="B322" s="27" t="s">
        <v>6</v>
      </c>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row>
    <row r="323" spans="1:33" ht="18" x14ac:dyDescent="0.2">
      <c r="A323" s="70"/>
      <c r="B323" s="27"/>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row>
    <row r="324" spans="1:33" ht="18" x14ac:dyDescent="0.2">
      <c r="A324" s="70"/>
      <c r="B324" s="27" t="s">
        <v>5</v>
      </c>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2"/>
      <c r="AC324" s="28"/>
      <c r="AD324" s="28"/>
      <c r="AE324" s="28"/>
      <c r="AF324" s="22"/>
      <c r="AG324" s="28"/>
    </row>
    <row r="325" spans="1:33" ht="18" x14ac:dyDescent="0.2">
      <c r="A325" s="70"/>
      <c r="B325" s="27" t="s">
        <v>6</v>
      </c>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row>
    <row r="326" spans="1:33" ht="18" x14ac:dyDescent="0.2">
      <c r="A326" s="70"/>
      <c r="B326" s="27"/>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row>
    <row r="327" spans="1:33" ht="18" x14ac:dyDescent="0.4">
      <c r="A327" s="4" t="s">
        <v>219</v>
      </c>
      <c r="B327" s="4"/>
      <c r="C327" s="4"/>
      <c r="D327" s="4"/>
      <c r="E327" s="4"/>
      <c r="F327" s="4"/>
      <c r="G327" s="4"/>
      <c r="H327" s="4"/>
      <c r="I327" s="4"/>
      <c r="J327" s="4"/>
      <c r="K327" s="4"/>
      <c r="L327" s="4"/>
      <c r="M327" s="4"/>
      <c r="N327" s="4"/>
      <c r="O327" s="4"/>
      <c r="P327" s="4"/>
      <c r="Q327" s="4"/>
      <c r="R327" s="4"/>
      <c r="S327" s="4"/>
      <c r="T327" s="4"/>
      <c r="U327" s="10"/>
      <c r="V327" s="10"/>
      <c r="W327" s="71" t="s">
        <v>186</v>
      </c>
      <c r="X327" s="71"/>
      <c r="Y327" s="71"/>
      <c r="Z327" s="71"/>
      <c r="AA327" s="71"/>
      <c r="AB327" s="71"/>
      <c r="AC327" s="71"/>
      <c r="AD327" s="10"/>
      <c r="AE327" s="10"/>
      <c r="AF327" s="10"/>
      <c r="AG327" s="10"/>
    </row>
    <row r="328" spans="1:33" ht="18" x14ac:dyDescent="0.4">
      <c r="A328" s="7"/>
      <c r="B328" s="7"/>
      <c r="C328" s="7"/>
      <c r="D328" s="7"/>
      <c r="E328" s="7"/>
      <c r="F328" s="7"/>
      <c r="G328" s="7"/>
      <c r="H328" s="7"/>
      <c r="I328" s="7"/>
      <c r="J328" s="7"/>
      <c r="K328" s="7"/>
      <c r="L328" s="7"/>
      <c r="M328" s="7"/>
      <c r="N328" s="7"/>
      <c r="O328" s="7"/>
      <c r="P328" s="7"/>
      <c r="Q328" s="7"/>
      <c r="R328" s="7"/>
      <c r="S328" s="7"/>
      <c r="T328" s="7"/>
      <c r="U328" s="38"/>
      <c r="V328" s="38"/>
      <c r="W328" s="7"/>
      <c r="X328" s="7"/>
      <c r="Y328" s="7"/>
      <c r="Z328" s="7"/>
      <c r="AA328" s="7"/>
      <c r="AB328" s="7"/>
      <c r="AC328" s="7"/>
      <c r="AD328" s="7"/>
      <c r="AE328" s="7"/>
      <c r="AF328" s="7"/>
      <c r="AG328" s="7"/>
    </row>
    <row r="329" spans="1:33" ht="18" x14ac:dyDescent="0.4">
      <c r="A329" s="9"/>
      <c r="B329" s="9"/>
      <c r="C329" s="9"/>
      <c r="D329" s="9"/>
      <c r="E329" s="9"/>
      <c r="F329" s="9"/>
      <c r="G329" s="9"/>
      <c r="H329" s="9"/>
      <c r="I329" s="9"/>
      <c r="J329" s="9"/>
      <c r="K329" s="9"/>
      <c r="L329" s="9"/>
      <c r="M329" s="9"/>
      <c r="N329" s="9"/>
      <c r="O329" s="9"/>
      <c r="P329" s="72" t="s">
        <v>28</v>
      </c>
      <c r="Q329" s="72"/>
      <c r="R329" s="73" t="str">
        <f>IF(R269=0,"",R269)</f>
        <v>พีรวัส</v>
      </c>
      <c r="S329" s="73"/>
      <c r="T329" s="73"/>
      <c r="U329" s="97" t="s">
        <v>221</v>
      </c>
      <c r="V329" s="97"/>
      <c r="W329" s="73" t="str">
        <f>IF(W269=0,"",W269)</f>
        <v>วรพงศ์</v>
      </c>
      <c r="X329" s="73"/>
      <c r="Y329" s="73"/>
      <c r="Z329" s="8" t="s">
        <v>29</v>
      </c>
      <c r="AA329" s="74">
        <f>IF(AA269=0,"",AA269)</f>
        <v>46204</v>
      </c>
      <c r="AB329" s="73"/>
      <c r="AC329" s="73"/>
      <c r="AD329" s="9"/>
      <c r="AE329" s="73"/>
      <c r="AF329" s="73"/>
      <c r="AG329" s="73"/>
    </row>
    <row r="331" spans="1:33" ht="23.25" x14ac:dyDescent="0.5">
      <c r="A331" s="80" t="s">
        <v>210</v>
      </c>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row>
    <row r="332" spans="1:33" ht="21" x14ac:dyDescent="0.45">
      <c r="A332" s="6" t="s">
        <v>22</v>
      </c>
      <c r="B332" s="81" t="s">
        <v>213</v>
      </c>
      <c r="C332" s="81"/>
      <c r="D332" s="81"/>
      <c r="E332" s="81"/>
      <c r="F332" s="81"/>
      <c r="G332" s="81"/>
      <c r="H332" s="6" t="s">
        <v>24</v>
      </c>
      <c r="I332" s="84" t="s">
        <v>259</v>
      </c>
      <c r="J332" s="88"/>
      <c r="K332" s="88"/>
      <c r="L332" s="88"/>
      <c r="M332" s="83" t="s">
        <v>25</v>
      </c>
      <c r="N332" s="83"/>
      <c r="O332" s="81" t="s">
        <v>71</v>
      </c>
      <c r="P332" s="81"/>
      <c r="Q332" s="81"/>
      <c r="R332" s="81"/>
      <c r="S332" s="81"/>
      <c r="T332" s="6" t="s">
        <v>20</v>
      </c>
      <c r="U332" s="101">
        <f>$U$2</f>
        <v>2569</v>
      </c>
      <c r="V332" s="101"/>
      <c r="W332" s="83" t="s">
        <v>35</v>
      </c>
      <c r="X332" s="83"/>
      <c r="Y332" s="83"/>
      <c r="Z332" s="1" t="s">
        <v>201</v>
      </c>
      <c r="AA332" s="1"/>
      <c r="AB332" s="1"/>
      <c r="AC332" s="1"/>
    </row>
    <row r="333" spans="1:33" ht="18.75" customHeight="1" x14ac:dyDescent="0.2">
      <c r="A333" s="20" t="s">
        <v>0</v>
      </c>
      <c r="B333" s="21" t="s">
        <v>2</v>
      </c>
      <c r="C333" s="98" t="str">
        <f>C303</f>
        <v>เดือน กรกฏาคม</v>
      </c>
      <c r="D333" s="99"/>
      <c r="E333" s="99"/>
      <c r="F333" s="99"/>
      <c r="G333" s="99"/>
      <c r="H333" s="99"/>
      <c r="I333" s="99"/>
      <c r="J333" s="99"/>
      <c r="K333" s="99"/>
      <c r="L333" s="99"/>
      <c r="M333" s="99"/>
      <c r="N333" s="99"/>
      <c r="O333" s="99"/>
      <c r="P333" s="99"/>
      <c r="Q333" s="99"/>
      <c r="R333" s="99"/>
      <c r="S333" s="99"/>
      <c r="T333" s="99"/>
      <c r="U333" s="99"/>
      <c r="V333" s="99"/>
      <c r="W333" s="99"/>
      <c r="X333" s="99"/>
      <c r="Y333" s="99"/>
      <c r="Z333" s="99"/>
      <c r="AA333" s="99"/>
      <c r="AB333" s="99"/>
      <c r="AC333" s="99"/>
      <c r="AD333" s="99"/>
      <c r="AE333" s="99"/>
      <c r="AF333" s="99"/>
      <c r="AG333" s="99"/>
    </row>
    <row r="334" spans="1:33" ht="18" x14ac:dyDescent="0.2">
      <c r="A334" s="23" t="s">
        <v>1</v>
      </c>
      <c r="B334" s="24" t="s">
        <v>3</v>
      </c>
      <c r="C334" s="22">
        <f>C304</f>
        <v>1</v>
      </c>
      <c r="D334" s="22">
        <f t="shared" ref="D334:AG334" si="58">D304</f>
        <v>2</v>
      </c>
      <c r="E334" s="22">
        <f t="shared" si="58"/>
        <v>3</v>
      </c>
      <c r="F334" s="22">
        <f t="shared" si="58"/>
        <v>4</v>
      </c>
      <c r="G334" s="22">
        <f t="shared" si="58"/>
        <v>5</v>
      </c>
      <c r="H334" s="22">
        <f t="shared" si="58"/>
        <v>6</v>
      </c>
      <c r="I334" s="22">
        <f t="shared" si="58"/>
        <v>7</v>
      </c>
      <c r="J334" s="22">
        <f>J304</f>
        <v>8</v>
      </c>
      <c r="K334" s="22">
        <f t="shared" si="58"/>
        <v>9</v>
      </c>
      <c r="L334" s="22">
        <f t="shared" si="58"/>
        <v>10</v>
      </c>
      <c r="M334" s="22">
        <f t="shared" si="58"/>
        <v>11</v>
      </c>
      <c r="N334" s="22">
        <f t="shared" si="58"/>
        <v>12</v>
      </c>
      <c r="O334" s="22">
        <f t="shared" si="58"/>
        <v>13</v>
      </c>
      <c r="P334" s="22">
        <f t="shared" si="58"/>
        <v>14</v>
      </c>
      <c r="Q334" s="22">
        <f t="shared" si="58"/>
        <v>15</v>
      </c>
      <c r="R334" s="22">
        <f t="shared" si="58"/>
        <v>16</v>
      </c>
      <c r="S334" s="22">
        <f t="shared" si="58"/>
        <v>17</v>
      </c>
      <c r="T334" s="22">
        <f t="shared" si="58"/>
        <v>18</v>
      </c>
      <c r="U334" s="22">
        <f t="shared" si="58"/>
        <v>19</v>
      </c>
      <c r="V334" s="22">
        <f t="shared" si="58"/>
        <v>20</v>
      </c>
      <c r="W334" s="22">
        <f t="shared" si="58"/>
        <v>21</v>
      </c>
      <c r="X334" s="22">
        <f t="shared" si="58"/>
        <v>22</v>
      </c>
      <c r="Y334" s="22">
        <f t="shared" si="58"/>
        <v>23</v>
      </c>
      <c r="Z334" s="22">
        <f t="shared" si="58"/>
        <v>24</v>
      </c>
      <c r="AA334" s="22">
        <f t="shared" si="58"/>
        <v>25</v>
      </c>
      <c r="AB334" s="22">
        <f t="shared" si="58"/>
        <v>26</v>
      </c>
      <c r="AC334" s="22">
        <f t="shared" si="58"/>
        <v>27</v>
      </c>
      <c r="AD334" s="22">
        <f t="shared" si="58"/>
        <v>28</v>
      </c>
      <c r="AE334" s="22">
        <f t="shared" si="58"/>
        <v>29</v>
      </c>
      <c r="AF334" s="22">
        <f t="shared" si="58"/>
        <v>30</v>
      </c>
      <c r="AG334" s="22">
        <f t="shared" si="58"/>
        <v>31</v>
      </c>
    </row>
    <row r="335" spans="1:33" ht="18" x14ac:dyDescent="0.2">
      <c r="A335" s="25"/>
      <c r="B335" s="26"/>
      <c r="C335" s="22" t="str">
        <f>_xlfn.IFNA(IF(OR(C334="",C334=0),"",(VLOOKUP(B335,'น้ำยา-เครื่อง'!$A:$AF,C334+1,FALSE))),"")</f>
        <v/>
      </c>
      <c r="D335" s="22" t="str">
        <f>_xlfn.IFNA(IF(OR(D334="",D334=0),"",(VLOOKUP(B335,'น้ำยา-เครื่อง'!$A:$AF,D334+1,FALSE))),"")</f>
        <v/>
      </c>
      <c r="E335" s="22" t="str">
        <f>_xlfn.IFNA(IF(OR(E334="",E334=0),"",(VLOOKUP(B335,'น้ำยา-เครื่อง'!$A:$AF,E334+1,FALSE))),"")</f>
        <v/>
      </c>
      <c r="F335" s="22" t="str">
        <f>_xlfn.IFNA(IF(OR(F334="",F334=0),"",(VLOOKUP(B335,'น้ำยา-เครื่อง'!$A:$AF,F334+1,FALSE))),"")</f>
        <v/>
      </c>
      <c r="G335" s="22" t="str">
        <f>_xlfn.IFNA(IF(OR(G334="",G334=0),"",(VLOOKUP(B335,'น้ำยา-เครื่อง'!$A:$AF,G334+1,FALSE))),"")</f>
        <v/>
      </c>
      <c r="H335" s="22" t="str">
        <f>_xlfn.IFNA(IF(OR(H334="",H334=0),"",(VLOOKUP(B335,'น้ำยา-เครื่อง'!$A:$AF,H334+1,FALSE))),"")</f>
        <v/>
      </c>
      <c r="I335" s="22" t="str">
        <f>_xlfn.IFNA(IF(OR(I334="",I334=0),"",(VLOOKUP(B335,'น้ำยา-เครื่อง'!$A:$AF,I334+1,FALSE))),"")</f>
        <v/>
      </c>
      <c r="J335" s="22" t="str">
        <f>_xlfn.IFNA(IF(OR(J334="",J334=0),"",(VLOOKUP(B335,'น้ำยา-เครื่อง'!$A:$AF,J334+1,FALSE))),"")</f>
        <v/>
      </c>
      <c r="K335" s="22" t="str">
        <f>_xlfn.IFNA(IF(OR(K334="",K334=0),"",(VLOOKUP(B335,'น้ำยา-เครื่อง'!$A:$AF,K334+1,FALSE))),"")</f>
        <v/>
      </c>
      <c r="L335" s="22" t="str">
        <f>_xlfn.IFNA(IF(OR(L334="",L334=0),"",(VLOOKUP(B335,'น้ำยา-เครื่อง'!$A:$AF,L334+1,FALSE))),"")</f>
        <v/>
      </c>
      <c r="M335" s="22" t="str">
        <f>_xlfn.IFNA(IF(OR(M334="",M334=0),"",(VLOOKUP(B335,'น้ำยา-เครื่อง'!$A:$AF,M334+1,FALSE))),"")</f>
        <v/>
      </c>
      <c r="N335" s="22" t="str">
        <f>_xlfn.IFNA(IF(OR(N334="",N334=0),"",(VLOOKUP(B335,'น้ำยา-เครื่อง'!$A:$AF,N334+1,FALSE))),"")</f>
        <v/>
      </c>
      <c r="O335" s="22" t="str">
        <f>_xlfn.IFNA(IF(OR(O334="",O334=0),"",(VLOOKUP(B335,'น้ำยา-เครื่อง'!$A:$AF,O334+1,FALSE))),"")</f>
        <v/>
      </c>
      <c r="P335" s="22" t="str">
        <f>_xlfn.IFNA(IF(OR(P334="",P334=0),"",(VLOOKUP(B335,'น้ำยา-เครื่อง'!$A:$AF,P334+1,FALSE))),"")</f>
        <v/>
      </c>
      <c r="Q335" s="22" t="str">
        <f>_xlfn.IFNA(IF(OR(Q334="",Q334=0),"",(VLOOKUP(B335,'น้ำยา-เครื่อง'!$A:$AF,Q334+1,FALSE))),"")</f>
        <v/>
      </c>
      <c r="R335" s="22" t="str">
        <f>_xlfn.IFNA(IF(OR(R334="",R334=0),"",(VLOOKUP(B335,'น้ำยา-เครื่อง'!$A:$AF,R334+1,FALSE))),"")</f>
        <v/>
      </c>
      <c r="S335" s="22" t="str">
        <f>_xlfn.IFNA(IF(OR(S334="",S334=0),"",(VLOOKUP(B335,'น้ำยา-เครื่อง'!$A:$AF,S334+1,FALSE))),"")</f>
        <v/>
      </c>
      <c r="T335" s="22" t="str">
        <f>_xlfn.IFNA(IF(OR(T334="",T334=0),"",(VLOOKUP(B335,'น้ำยา-เครื่อง'!$A:$AF,T334+1,FALSE))),"")</f>
        <v/>
      </c>
      <c r="U335" s="22" t="str">
        <f>_xlfn.IFNA(IF(OR(U334="",U334=0),"",(VLOOKUP(B335,'น้ำยา-เครื่อง'!$A:$AF,U334+1,FALSE))),"")</f>
        <v/>
      </c>
      <c r="V335" s="22" t="str">
        <f>_xlfn.IFNA(IF(OR(V334="",V334=0),"",(VLOOKUP(B335,'น้ำยา-เครื่อง'!$A:$AF,V334+1,FALSE))),"")</f>
        <v/>
      </c>
      <c r="W335" s="22" t="str">
        <f>_xlfn.IFNA(IF(OR(W334="",W334=0),"",(VLOOKUP(B335,'น้ำยา-เครื่อง'!$A:$AF,W334+1,FALSE))),"")</f>
        <v/>
      </c>
      <c r="X335" s="22" t="str">
        <f>_xlfn.IFNA(IF(OR(X334="",X334=0),"",(VLOOKUP(B335,'น้ำยา-เครื่อง'!$A:$AF,X334+1,FALSE))),"")</f>
        <v/>
      </c>
      <c r="Y335" s="22" t="str">
        <f>_xlfn.IFNA(IF(OR(Y334="",Y334=0),"",(VLOOKUP(B335,'น้ำยา-เครื่อง'!$A:$AF,Y334+1,FALSE))),"")</f>
        <v/>
      </c>
      <c r="Z335" s="22" t="str">
        <f>_xlfn.IFNA(IF(OR(Z334="",Z334=0),"",(VLOOKUP(B335,'น้ำยา-เครื่อง'!$A:$AF,Z334+1,FALSE))),"")</f>
        <v/>
      </c>
      <c r="AA335" s="22" t="str">
        <f>_xlfn.IFNA(IF(OR(AA334="",AA334=0),"",(VLOOKUP(B335,'น้ำยา-เครื่อง'!$A:$AF,AA334+1,FALSE))),"")</f>
        <v/>
      </c>
      <c r="AB335" s="22" t="str">
        <f>_xlfn.IFNA(IF(OR(AB334="",AB334=0),"",(VLOOKUP(B335,'น้ำยา-เครื่อง'!$A:$AF,AB334+1,FALSE))),"")</f>
        <v/>
      </c>
      <c r="AC335" s="22" t="str">
        <f>_xlfn.IFNA(IF(OR(AC334="",AC334=0),"",(VLOOKUP(B335,'น้ำยา-เครื่อง'!$A:$AF,AC334+1,FALSE))),"")</f>
        <v/>
      </c>
      <c r="AD335" s="22" t="str">
        <f>_xlfn.IFNA(IF(OR(AD334="",AD334=0),"",(VLOOKUP(B335,'น้ำยา-เครื่อง'!$A:$AF,AD334+1,FALSE))),"")</f>
        <v/>
      </c>
      <c r="AE335" s="22" t="str">
        <f>_xlfn.IFNA(IF(OR(AE334="",AE334=0),"",(VLOOKUP(B335,'น้ำยา-เครื่อง'!$A:$AF,AE334+1,FALSE))),"")</f>
        <v/>
      </c>
      <c r="AF335" s="22" t="str">
        <f>_xlfn.IFNA(IF(OR(AF334="",AF334=0),"",(VLOOKUP(B335,'น้ำยา-เครื่อง'!$A:$AF,AF334+1,FALSE))),"")</f>
        <v/>
      </c>
      <c r="AG335" s="22" t="str">
        <f>_xlfn.IFNA(IF(OR(AG334="",AG334=0),"",(VLOOKUP(B335,'น้ำยา-เครื่อง'!$A:$AF,AG334+1,FALSE))),"")</f>
        <v/>
      </c>
    </row>
    <row r="336" spans="1:33" ht="18.75" customHeight="1" x14ac:dyDescent="0.2">
      <c r="A336" s="70" t="s">
        <v>72</v>
      </c>
      <c r="B336" s="27" t="s">
        <v>5</v>
      </c>
      <c r="C336" s="28"/>
      <c r="D336" s="28"/>
      <c r="E336" s="28"/>
      <c r="F336" s="28"/>
      <c r="G336" s="29"/>
      <c r="H336" s="28"/>
      <c r="I336" s="28"/>
      <c r="J336" s="28"/>
      <c r="K336" s="29"/>
      <c r="L336" s="28"/>
      <c r="M336" s="28"/>
      <c r="N336" s="28"/>
      <c r="O336" s="28"/>
      <c r="P336" s="29"/>
      <c r="Q336" s="28"/>
      <c r="R336" s="28"/>
      <c r="S336" s="28"/>
      <c r="T336" s="29"/>
      <c r="U336" s="28"/>
      <c r="V336" s="28"/>
      <c r="W336" s="28"/>
      <c r="X336" s="28"/>
      <c r="Y336" s="29"/>
      <c r="Z336" s="28"/>
      <c r="AA336" s="28"/>
      <c r="AB336" s="22"/>
      <c r="AC336" s="29"/>
      <c r="AD336" s="28"/>
      <c r="AE336" s="28"/>
      <c r="AF336" s="22"/>
      <c r="AG336" s="29"/>
    </row>
    <row r="337" spans="1:33" ht="18" x14ac:dyDescent="0.2">
      <c r="A337" s="70"/>
      <c r="B337" s="27" t="s">
        <v>6</v>
      </c>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row>
    <row r="338" spans="1:33" ht="18" x14ac:dyDescent="0.2">
      <c r="A338" s="70"/>
      <c r="B338" s="27"/>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row>
    <row r="339" spans="1:33" ht="18.75" customHeight="1" x14ac:dyDescent="0.2">
      <c r="A339" s="70" t="s">
        <v>214</v>
      </c>
      <c r="B339" s="27" t="s">
        <v>5</v>
      </c>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2"/>
      <c r="AC339" s="28"/>
      <c r="AD339" s="28"/>
      <c r="AE339" s="28"/>
      <c r="AF339" s="22"/>
      <c r="AG339" s="28"/>
    </row>
    <row r="340" spans="1:33" ht="18" x14ac:dyDescent="0.2">
      <c r="A340" s="70"/>
      <c r="B340" s="27" t="s">
        <v>6</v>
      </c>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row>
    <row r="341" spans="1:33" ht="18" x14ac:dyDescent="0.2">
      <c r="A341" s="70"/>
      <c r="B341" s="27"/>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row>
    <row r="342" spans="1:33" ht="18" x14ac:dyDescent="0.2">
      <c r="A342" s="70"/>
      <c r="B342" s="27" t="s">
        <v>5</v>
      </c>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2"/>
      <c r="AC342" s="28"/>
      <c r="AD342" s="28"/>
      <c r="AE342" s="28"/>
      <c r="AF342" s="22"/>
      <c r="AG342" s="28"/>
    </row>
    <row r="343" spans="1:33" ht="18" x14ac:dyDescent="0.2">
      <c r="A343" s="70"/>
      <c r="B343" s="27" t="s">
        <v>6</v>
      </c>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row>
    <row r="344" spans="1:33" ht="18" x14ac:dyDescent="0.2">
      <c r="A344" s="70"/>
      <c r="B344" s="27"/>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row>
    <row r="345" spans="1:33" ht="18.75" customHeight="1" x14ac:dyDescent="0.2">
      <c r="A345" s="20" t="s">
        <v>0</v>
      </c>
      <c r="B345" s="21" t="s">
        <v>2</v>
      </c>
      <c r="C345" s="98" t="str">
        <f>C315</f>
        <v>เดือน สิงหาคม</v>
      </c>
      <c r="D345" s="99"/>
      <c r="E345" s="99"/>
      <c r="F345" s="99"/>
      <c r="G345" s="99"/>
      <c r="H345" s="99"/>
      <c r="I345" s="99"/>
      <c r="J345" s="99"/>
      <c r="K345" s="99"/>
      <c r="L345" s="99"/>
      <c r="M345" s="99"/>
      <c r="N345" s="99"/>
      <c r="O345" s="99"/>
      <c r="P345" s="99"/>
      <c r="Q345" s="99"/>
      <c r="R345" s="99"/>
      <c r="S345" s="99"/>
      <c r="T345" s="99"/>
      <c r="U345" s="99"/>
      <c r="V345" s="99"/>
      <c r="W345" s="99"/>
      <c r="X345" s="99"/>
      <c r="Y345" s="99"/>
      <c r="Z345" s="99"/>
      <c r="AA345" s="99"/>
      <c r="AB345" s="99"/>
      <c r="AC345" s="99"/>
      <c r="AD345" s="99"/>
      <c r="AE345" s="99"/>
      <c r="AF345" s="99"/>
      <c r="AG345" s="99"/>
    </row>
    <row r="346" spans="1:33" ht="18" x14ac:dyDescent="0.2">
      <c r="A346" s="23" t="s">
        <v>1</v>
      </c>
      <c r="B346" s="24" t="s">
        <v>3</v>
      </c>
      <c r="C346" s="22">
        <f>C286</f>
        <v>1</v>
      </c>
      <c r="D346" s="22">
        <f t="shared" ref="D346:AG346" si="59">D286</f>
        <v>2</v>
      </c>
      <c r="E346" s="22">
        <f t="shared" si="59"/>
        <v>3</v>
      </c>
      <c r="F346" s="22">
        <f t="shared" si="59"/>
        <v>4</v>
      </c>
      <c r="G346" s="22">
        <f t="shared" si="59"/>
        <v>5</v>
      </c>
      <c r="H346" s="22">
        <f t="shared" si="59"/>
        <v>6</v>
      </c>
      <c r="I346" s="22">
        <f t="shared" si="59"/>
        <v>7</v>
      </c>
      <c r="J346" s="22">
        <f t="shared" si="59"/>
        <v>8</v>
      </c>
      <c r="K346" s="22">
        <f t="shared" si="59"/>
        <v>9</v>
      </c>
      <c r="L346" s="22">
        <f t="shared" si="59"/>
        <v>10</v>
      </c>
      <c r="M346" s="22">
        <f t="shared" si="59"/>
        <v>11</v>
      </c>
      <c r="N346" s="22">
        <f t="shared" si="59"/>
        <v>12</v>
      </c>
      <c r="O346" s="22">
        <f t="shared" si="59"/>
        <v>13</v>
      </c>
      <c r="P346" s="22">
        <f t="shared" si="59"/>
        <v>14</v>
      </c>
      <c r="Q346" s="22">
        <f t="shared" si="59"/>
        <v>15</v>
      </c>
      <c r="R346" s="22">
        <f t="shared" si="59"/>
        <v>16</v>
      </c>
      <c r="S346" s="22">
        <f t="shared" si="59"/>
        <v>17</v>
      </c>
      <c r="T346" s="22">
        <f t="shared" si="59"/>
        <v>18</v>
      </c>
      <c r="U346" s="22">
        <f t="shared" si="59"/>
        <v>19</v>
      </c>
      <c r="V346" s="22">
        <f t="shared" si="59"/>
        <v>20</v>
      </c>
      <c r="W346" s="22">
        <f t="shared" si="59"/>
        <v>21</v>
      </c>
      <c r="X346" s="22">
        <f t="shared" si="59"/>
        <v>22</v>
      </c>
      <c r="Y346" s="22">
        <f t="shared" si="59"/>
        <v>23</v>
      </c>
      <c r="Z346" s="22">
        <f t="shared" si="59"/>
        <v>24</v>
      </c>
      <c r="AA346" s="22">
        <f t="shared" si="59"/>
        <v>25</v>
      </c>
      <c r="AB346" s="22">
        <f t="shared" si="59"/>
        <v>26</v>
      </c>
      <c r="AC346" s="22">
        <f t="shared" si="59"/>
        <v>27</v>
      </c>
      <c r="AD346" s="22">
        <f t="shared" si="59"/>
        <v>28</v>
      </c>
      <c r="AE346" s="22">
        <f t="shared" si="59"/>
        <v>29</v>
      </c>
      <c r="AF346" s="22">
        <f t="shared" si="59"/>
        <v>30</v>
      </c>
      <c r="AG346" s="22">
        <f t="shared" si="59"/>
        <v>0</v>
      </c>
    </row>
    <row r="347" spans="1:33" ht="18" x14ac:dyDescent="0.2">
      <c r="A347" s="25"/>
      <c r="B347" s="26"/>
      <c r="C347" s="22" t="str">
        <f>_xlfn.IFNA(IF(OR(C346="",C346=0),"",(VLOOKUP(B347,'น้ำยา-เครื่อง'!$A:$AF,C346+1,FALSE))),"")</f>
        <v/>
      </c>
      <c r="D347" s="22" t="str">
        <f>_xlfn.IFNA(IF(OR(D346="",D346=0),"",(VLOOKUP(B347,'น้ำยา-เครื่อง'!$A:$AF,D346+1,FALSE))),"")</f>
        <v/>
      </c>
      <c r="E347" s="22" t="str">
        <f>_xlfn.IFNA(IF(OR(E346="",E346=0),"",(VLOOKUP(B347,'น้ำยา-เครื่อง'!$A:$AF,E346+1,FALSE))),"")</f>
        <v/>
      </c>
      <c r="F347" s="22" t="str">
        <f>_xlfn.IFNA(IF(OR(F346="",F346=0),"",(VLOOKUP(B347,'น้ำยา-เครื่อง'!$A:$AF,F346+1,FALSE))),"")</f>
        <v/>
      </c>
      <c r="G347" s="22" t="str">
        <f>_xlfn.IFNA(IF(OR(G346="",G346=0),"",(VLOOKUP(B347,'น้ำยา-เครื่อง'!$A:$AF,G346+1,FALSE))),"")</f>
        <v/>
      </c>
      <c r="H347" s="22" t="str">
        <f>_xlfn.IFNA(IF(OR(H346="",H346=0),"",(VLOOKUP(B347,'น้ำยา-เครื่อง'!$A:$AF,H346+1,FALSE))),"")</f>
        <v/>
      </c>
      <c r="I347" s="22" t="str">
        <f>_xlfn.IFNA(IF(OR(I346="",I346=0),"",(VLOOKUP(B347,'น้ำยา-เครื่อง'!$A:$AF,I346+1,FALSE))),"")</f>
        <v/>
      </c>
      <c r="J347" s="22" t="str">
        <f>_xlfn.IFNA(IF(OR(J346="",J346=0),"",(VLOOKUP(B347,'น้ำยา-เครื่อง'!$A:$AF,J346+1,FALSE))),"")</f>
        <v/>
      </c>
      <c r="K347" s="22" t="str">
        <f>_xlfn.IFNA(IF(OR(K346="",K346=0),"",(VLOOKUP(B347,'น้ำยา-เครื่อง'!$A:$AF,K346+1,FALSE))),"")</f>
        <v/>
      </c>
      <c r="L347" s="22" t="str">
        <f>_xlfn.IFNA(IF(OR(L346="",L346=0),"",(VLOOKUP(B347,'น้ำยา-เครื่อง'!$A:$AF,L346+1,FALSE))),"")</f>
        <v/>
      </c>
      <c r="M347" s="22" t="str">
        <f>_xlfn.IFNA(IF(OR(M346="",M346=0),"",(VLOOKUP(B347,'น้ำยา-เครื่อง'!$A:$AF,M346+1,FALSE))),"")</f>
        <v/>
      </c>
      <c r="N347" s="22" t="str">
        <f>_xlfn.IFNA(IF(OR(N346="",N346=0),"",(VLOOKUP(B347,'น้ำยา-เครื่อง'!$A:$AF,N346+1,FALSE))),"")</f>
        <v/>
      </c>
      <c r="O347" s="22" t="str">
        <f>_xlfn.IFNA(IF(OR(O346="",O346=0),"",(VLOOKUP(B347,'น้ำยา-เครื่อง'!$A:$AF,O346+1,FALSE))),"")</f>
        <v/>
      </c>
      <c r="P347" s="22" t="str">
        <f>_xlfn.IFNA(IF(OR(P346="",P346=0),"",(VLOOKUP(B347,'น้ำยา-เครื่อง'!$A:$AF,P346+1,FALSE))),"")</f>
        <v/>
      </c>
      <c r="Q347" s="22" t="str">
        <f>_xlfn.IFNA(IF(OR(Q346="",Q346=0),"",(VLOOKUP(B347,'น้ำยา-เครื่อง'!$A:$AF,Q346+1,FALSE))),"")</f>
        <v/>
      </c>
      <c r="R347" s="22" t="str">
        <f>_xlfn.IFNA(IF(OR(R346="",R346=0),"",(VLOOKUP(B347,'น้ำยา-เครื่อง'!$A:$AF,R346+1,FALSE))),"")</f>
        <v/>
      </c>
      <c r="S347" s="22" t="str">
        <f>_xlfn.IFNA(IF(OR(S346="",S346=0),"",(VLOOKUP(B347,'น้ำยา-เครื่อง'!$A:$AF,S346+1,FALSE))),"")</f>
        <v/>
      </c>
      <c r="T347" s="22" t="str">
        <f>_xlfn.IFNA(IF(OR(T346="",T346=0),"",(VLOOKUP(B347,'น้ำยา-เครื่อง'!$A:$AF,T346+1,FALSE))),"")</f>
        <v/>
      </c>
      <c r="U347" s="22" t="str">
        <f>_xlfn.IFNA(IF(OR(U346="",U346=0),"",(VLOOKUP(B347,'น้ำยา-เครื่อง'!$A:$AF,U346+1,FALSE))),"")</f>
        <v/>
      </c>
      <c r="V347" s="22" t="str">
        <f>_xlfn.IFNA(IF(OR(V346="",V346=0),"",(VLOOKUP(B347,'น้ำยา-เครื่อง'!$A:$AF,V346+1,FALSE))),"")</f>
        <v/>
      </c>
      <c r="W347" s="22" t="str">
        <f>_xlfn.IFNA(IF(OR(W346="",W346=0),"",(VLOOKUP(B347,'น้ำยา-เครื่อง'!$A:$AF,W346+1,FALSE))),"")</f>
        <v/>
      </c>
      <c r="X347" s="22" t="str">
        <f>_xlfn.IFNA(IF(OR(X346="",X346=0),"",(VLOOKUP(B347,'น้ำยา-เครื่อง'!$A:$AF,X346+1,FALSE))),"")</f>
        <v/>
      </c>
      <c r="Y347" s="22" t="str">
        <f>_xlfn.IFNA(IF(OR(Y346="",Y346=0),"",(VLOOKUP(B347,'น้ำยา-เครื่อง'!$A:$AF,Y346+1,FALSE))),"")</f>
        <v/>
      </c>
      <c r="Z347" s="22" t="str">
        <f>_xlfn.IFNA(IF(OR(Z346="",Z346=0),"",(VLOOKUP(B347,'น้ำยา-เครื่อง'!$A:$AF,Z346+1,FALSE))),"")</f>
        <v/>
      </c>
      <c r="AA347" s="22" t="str">
        <f>_xlfn.IFNA(IF(OR(AA346="",AA346=0),"",(VLOOKUP(B347,'น้ำยา-เครื่อง'!$A:$AF,AA346+1,FALSE))),"")</f>
        <v/>
      </c>
      <c r="AB347" s="22" t="str">
        <f>_xlfn.IFNA(IF(OR(AB346="",AB346=0),"",(VLOOKUP(B347,'น้ำยา-เครื่อง'!$A:$AF,AB346+1,FALSE))),"")</f>
        <v/>
      </c>
      <c r="AC347" s="22" t="str">
        <f>_xlfn.IFNA(IF(OR(AC346="",AC346=0),"",(VLOOKUP(B347,'น้ำยา-เครื่อง'!$A:$AF,AC346+1,FALSE))),"")</f>
        <v/>
      </c>
      <c r="AD347" s="22" t="str">
        <f>_xlfn.IFNA(IF(OR(AD346="",AD346=0),"",(VLOOKUP(B347,'น้ำยา-เครื่อง'!$A:$AF,AD346+1,FALSE))),"")</f>
        <v/>
      </c>
      <c r="AE347" s="22" t="str">
        <f>_xlfn.IFNA(IF(OR(AE346="",AE346=0),"",(VLOOKUP(B347,'น้ำยา-เครื่อง'!$A:$AF,AE346+1,FALSE))),"")</f>
        <v/>
      </c>
      <c r="AF347" s="22" t="str">
        <f>_xlfn.IFNA(IF(OR(AF346="",AF346=0),"",(VLOOKUP(B347,'น้ำยา-เครื่อง'!$A:$AF,AF346+1,FALSE))),"")</f>
        <v/>
      </c>
      <c r="AG347" s="22" t="str">
        <f>_xlfn.IFNA(IF(OR(AG346="",AG346=0),"",(VLOOKUP(B347,'น้ำยา-เครื่อง'!$A:$AF,AG346+1,FALSE))),"")</f>
        <v/>
      </c>
    </row>
    <row r="348" spans="1:33" ht="18.75" customHeight="1" x14ac:dyDescent="0.2">
      <c r="A348" s="70" t="s">
        <v>72</v>
      </c>
      <c r="B348" s="27" t="s">
        <v>5</v>
      </c>
      <c r="C348" s="28"/>
      <c r="D348" s="28"/>
      <c r="E348" s="28"/>
      <c r="F348" s="28"/>
      <c r="G348" s="29"/>
      <c r="H348" s="28"/>
      <c r="I348" s="28"/>
      <c r="J348" s="28"/>
      <c r="K348" s="29"/>
      <c r="L348" s="28"/>
      <c r="M348" s="28"/>
      <c r="N348" s="28"/>
      <c r="O348" s="28"/>
      <c r="P348" s="29"/>
      <c r="Q348" s="28"/>
      <c r="R348" s="28"/>
      <c r="S348" s="28"/>
      <c r="T348" s="29"/>
      <c r="U348" s="28"/>
      <c r="V348" s="28"/>
      <c r="W348" s="28"/>
      <c r="X348" s="28"/>
      <c r="Y348" s="29"/>
      <c r="Z348" s="28"/>
      <c r="AA348" s="28"/>
      <c r="AB348" s="22"/>
      <c r="AC348" s="29"/>
      <c r="AD348" s="28"/>
      <c r="AE348" s="28"/>
      <c r="AF348" s="22"/>
      <c r="AG348" s="29"/>
    </row>
    <row r="349" spans="1:33" ht="18" x14ac:dyDescent="0.2">
      <c r="A349" s="70"/>
      <c r="B349" s="27" t="s">
        <v>6</v>
      </c>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row>
    <row r="350" spans="1:33" ht="18" x14ac:dyDescent="0.2">
      <c r="A350" s="70"/>
      <c r="B350" s="27"/>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row>
    <row r="351" spans="1:33" ht="18.75" customHeight="1" x14ac:dyDescent="0.2">
      <c r="A351" s="70" t="s">
        <v>214</v>
      </c>
      <c r="B351" s="27" t="s">
        <v>5</v>
      </c>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2"/>
      <c r="AC351" s="28"/>
      <c r="AD351" s="28"/>
      <c r="AE351" s="28"/>
      <c r="AF351" s="22"/>
      <c r="AG351" s="28"/>
    </row>
    <row r="352" spans="1:33" ht="18" x14ac:dyDescent="0.2">
      <c r="A352" s="70"/>
      <c r="B352" s="27" t="s">
        <v>6</v>
      </c>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row>
    <row r="353" spans="1:33" ht="18" x14ac:dyDescent="0.2">
      <c r="A353" s="70"/>
      <c r="B353" s="27"/>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row>
    <row r="354" spans="1:33" ht="18" x14ac:dyDescent="0.2">
      <c r="A354" s="70"/>
      <c r="B354" s="27" t="s">
        <v>5</v>
      </c>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2"/>
      <c r="AC354" s="28"/>
      <c r="AD354" s="28"/>
      <c r="AE354" s="28"/>
      <c r="AF354" s="22"/>
      <c r="AG354" s="28"/>
    </row>
    <row r="355" spans="1:33" ht="18" x14ac:dyDescent="0.2">
      <c r="A355" s="70"/>
      <c r="B355" s="27" t="s">
        <v>6</v>
      </c>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row>
    <row r="356" spans="1:33" ht="18" x14ac:dyDescent="0.2">
      <c r="A356" s="70"/>
      <c r="B356" s="27"/>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row>
    <row r="357" spans="1:33" ht="18" x14ac:dyDescent="0.4">
      <c r="A357" s="4" t="s">
        <v>219</v>
      </c>
      <c r="B357" s="4"/>
      <c r="C357" s="4"/>
      <c r="D357" s="4"/>
      <c r="E357" s="4"/>
      <c r="F357" s="4"/>
      <c r="G357" s="4"/>
      <c r="H357" s="4"/>
      <c r="I357" s="4"/>
      <c r="J357" s="4"/>
      <c r="K357" s="4"/>
      <c r="L357" s="4"/>
      <c r="M357" s="4"/>
      <c r="N357" s="4"/>
      <c r="O357" s="4"/>
      <c r="P357" s="4"/>
      <c r="Q357" s="4"/>
      <c r="R357" s="4"/>
      <c r="S357" s="4"/>
      <c r="T357" s="4"/>
      <c r="U357" s="10"/>
      <c r="V357" s="10"/>
      <c r="W357" s="71" t="s">
        <v>186</v>
      </c>
      <c r="X357" s="71"/>
      <c r="Y357" s="71"/>
      <c r="Z357" s="71"/>
      <c r="AA357" s="71"/>
      <c r="AB357" s="71"/>
      <c r="AC357" s="71"/>
      <c r="AD357" s="10"/>
      <c r="AE357" s="10"/>
      <c r="AF357" s="10"/>
      <c r="AG357" s="10"/>
    </row>
    <row r="358" spans="1:33" ht="18" x14ac:dyDescent="0.4">
      <c r="A358" s="7"/>
      <c r="B358" s="7"/>
      <c r="C358" s="7"/>
      <c r="D358" s="7"/>
      <c r="E358" s="7"/>
      <c r="F358" s="7"/>
      <c r="G358" s="7"/>
      <c r="H358" s="7"/>
      <c r="I358" s="7"/>
      <c r="J358" s="7"/>
      <c r="K358" s="7"/>
      <c r="L358" s="7"/>
      <c r="M358" s="7"/>
      <c r="N358" s="7"/>
      <c r="O358" s="7"/>
      <c r="P358" s="7"/>
      <c r="Q358" s="7"/>
      <c r="R358" s="7"/>
      <c r="S358" s="7"/>
      <c r="T358" s="7"/>
      <c r="U358" s="38"/>
      <c r="V358" s="38"/>
      <c r="W358" s="7"/>
      <c r="X358" s="7"/>
      <c r="Y358" s="7"/>
      <c r="Z358" s="7"/>
      <c r="AA358" s="7"/>
      <c r="AB358" s="7"/>
      <c r="AC358" s="7"/>
      <c r="AD358" s="7"/>
      <c r="AE358" s="7"/>
      <c r="AF358" s="7"/>
      <c r="AG358" s="7"/>
    </row>
    <row r="359" spans="1:33" ht="18" x14ac:dyDescent="0.4">
      <c r="A359" s="9"/>
      <c r="B359" s="9"/>
      <c r="C359" s="9"/>
      <c r="D359" s="9"/>
      <c r="E359" s="9"/>
      <c r="F359" s="9"/>
      <c r="G359" s="9"/>
      <c r="H359" s="9"/>
      <c r="I359" s="9"/>
      <c r="J359" s="9"/>
      <c r="K359" s="9"/>
      <c r="L359" s="9"/>
      <c r="M359" s="9"/>
      <c r="N359" s="9"/>
      <c r="O359" s="9"/>
      <c r="P359" s="72" t="s">
        <v>28</v>
      </c>
      <c r="Q359" s="72"/>
      <c r="R359" s="73" t="str">
        <f>IF(R329=0,"",R329)</f>
        <v>พีรวัส</v>
      </c>
      <c r="S359" s="73"/>
      <c r="T359" s="73"/>
      <c r="U359" s="97" t="s">
        <v>221</v>
      </c>
      <c r="V359" s="97"/>
      <c r="W359" s="73" t="str">
        <f>IF(W329=0,"",W329)</f>
        <v>วรพงศ์</v>
      </c>
      <c r="X359" s="73"/>
      <c r="Y359" s="73"/>
      <c r="Z359" s="8" t="s">
        <v>29</v>
      </c>
      <c r="AA359" s="74">
        <f>IF(AA269=0,"",AA269)</f>
        <v>46204</v>
      </c>
      <c r="AB359" s="73"/>
      <c r="AC359" s="73"/>
      <c r="AD359" s="9"/>
      <c r="AE359" s="73"/>
      <c r="AF359" s="73"/>
      <c r="AG359" s="73"/>
    </row>
    <row r="361" spans="1:33" ht="23.25" x14ac:dyDescent="0.5">
      <c r="A361" s="80" t="s">
        <v>210</v>
      </c>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c r="AA361" s="80"/>
      <c r="AB361" s="80"/>
      <c r="AC361" s="80"/>
      <c r="AD361" s="80"/>
      <c r="AE361" s="80"/>
      <c r="AF361" s="80"/>
      <c r="AG361" s="80"/>
    </row>
    <row r="362" spans="1:33" ht="21" x14ac:dyDescent="0.45">
      <c r="A362" s="6" t="s">
        <v>22</v>
      </c>
      <c r="B362" s="88" t="s">
        <v>233</v>
      </c>
      <c r="C362" s="88"/>
      <c r="D362" s="88"/>
      <c r="E362" s="88"/>
      <c r="F362" s="88"/>
      <c r="G362" s="88"/>
      <c r="H362" s="6" t="s">
        <v>24</v>
      </c>
      <c r="I362" s="84" t="s">
        <v>260</v>
      </c>
      <c r="J362" s="88"/>
      <c r="K362" s="88"/>
      <c r="L362" s="88"/>
      <c r="M362" s="83" t="s">
        <v>25</v>
      </c>
      <c r="N362" s="83"/>
      <c r="O362" s="81" t="s">
        <v>224</v>
      </c>
      <c r="P362" s="81"/>
      <c r="Q362" s="81"/>
      <c r="R362" s="81"/>
      <c r="S362" s="81"/>
      <c r="T362" s="6" t="s">
        <v>20</v>
      </c>
      <c r="U362" s="101">
        <f>$U$2</f>
        <v>2569</v>
      </c>
      <c r="V362" s="101"/>
      <c r="W362" s="83" t="s">
        <v>35</v>
      </c>
      <c r="X362" s="83"/>
      <c r="Y362" s="83"/>
      <c r="Z362" s="1" t="s">
        <v>297</v>
      </c>
      <c r="AA362" s="1"/>
      <c r="AB362" s="1"/>
      <c r="AC362" s="1"/>
    </row>
    <row r="363" spans="1:33" ht="18.75" customHeight="1" x14ac:dyDescent="0.2">
      <c r="A363" s="20" t="s">
        <v>0</v>
      </c>
      <c r="B363" s="21" t="s">
        <v>2</v>
      </c>
      <c r="C363" s="98" t="str">
        <f>C303</f>
        <v>เดือน กรกฏาคม</v>
      </c>
      <c r="D363" s="99"/>
      <c r="E363" s="99"/>
      <c r="F363" s="99"/>
      <c r="G363" s="99"/>
      <c r="H363" s="99"/>
      <c r="I363" s="99"/>
      <c r="J363" s="99"/>
      <c r="K363" s="99"/>
      <c r="L363" s="99"/>
      <c r="M363" s="99"/>
      <c r="N363" s="99"/>
      <c r="O363" s="99"/>
      <c r="P363" s="99"/>
      <c r="Q363" s="99"/>
      <c r="R363" s="99"/>
      <c r="S363" s="99"/>
      <c r="T363" s="99"/>
      <c r="U363" s="99"/>
      <c r="V363" s="99"/>
      <c r="W363" s="99"/>
      <c r="X363" s="99"/>
      <c r="Y363" s="99"/>
      <c r="Z363" s="99"/>
      <c r="AA363" s="99"/>
      <c r="AB363" s="99"/>
      <c r="AC363" s="99"/>
      <c r="AD363" s="99"/>
      <c r="AE363" s="99"/>
      <c r="AF363" s="99"/>
      <c r="AG363" s="99"/>
    </row>
    <row r="364" spans="1:33" ht="18" x14ac:dyDescent="0.2">
      <c r="A364" s="23" t="s">
        <v>1</v>
      </c>
      <c r="B364" s="24" t="s">
        <v>3</v>
      </c>
      <c r="C364" s="22">
        <f>C304</f>
        <v>1</v>
      </c>
      <c r="D364" s="22">
        <f t="shared" ref="D364:AG364" si="60">D304</f>
        <v>2</v>
      </c>
      <c r="E364" s="22">
        <f t="shared" si="60"/>
        <v>3</v>
      </c>
      <c r="F364" s="22">
        <f t="shared" si="60"/>
        <v>4</v>
      </c>
      <c r="G364" s="22">
        <f t="shared" si="60"/>
        <v>5</v>
      </c>
      <c r="H364" s="22">
        <f t="shared" si="60"/>
        <v>6</v>
      </c>
      <c r="I364" s="22">
        <f t="shared" si="60"/>
        <v>7</v>
      </c>
      <c r="J364" s="22">
        <f t="shared" si="60"/>
        <v>8</v>
      </c>
      <c r="K364" s="22">
        <f t="shared" si="60"/>
        <v>9</v>
      </c>
      <c r="L364" s="22">
        <f t="shared" si="60"/>
        <v>10</v>
      </c>
      <c r="M364" s="22">
        <f t="shared" si="60"/>
        <v>11</v>
      </c>
      <c r="N364" s="22">
        <f t="shared" si="60"/>
        <v>12</v>
      </c>
      <c r="O364" s="22">
        <f t="shared" si="60"/>
        <v>13</v>
      </c>
      <c r="P364" s="22">
        <f t="shared" si="60"/>
        <v>14</v>
      </c>
      <c r="Q364" s="22">
        <f t="shared" si="60"/>
        <v>15</v>
      </c>
      <c r="R364" s="22">
        <f t="shared" si="60"/>
        <v>16</v>
      </c>
      <c r="S364" s="22">
        <f t="shared" si="60"/>
        <v>17</v>
      </c>
      <c r="T364" s="22">
        <f t="shared" si="60"/>
        <v>18</v>
      </c>
      <c r="U364" s="22">
        <f t="shared" si="60"/>
        <v>19</v>
      </c>
      <c r="V364" s="22">
        <f t="shared" si="60"/>
        <v>20</v>
      </c>
      <c r="W364" s="22">
        <f t="shared" si="60"/>
        <v>21</v>
      </c>
      <c r="X364" s="22">
        <f t="shared" si="60"/>
        <v>22</v>
      </c>
      <c r="Y364" s="22">
        <f t="shared" si="60"/>
        <v>23</v>
      </c>
      <c r="Z364" s="22">
        <f t="shared" si="60"/>
        <v>24</v>
      </c>
      <c r="AA364" s="22">
        <f t="shared" si="60"/>
        <v>25</v>
      </c>
      <c r="AB364" s="22">
        <f t="shared" si="60"/>
        <v>26</v>
      </c>
      <c r="AC364" s="22">
        <f t="shared" si="60"/>
        <v>27</v>
      </c>
      <c r="AD364" s="22">
        <f t="shared" si="60"/>
        <v>28</v>
      </c>
      <c r="AE364" s="22">
        <f t="shared" si="60"/>
        <v>29</v>
      </c>
      <c r="AF364" s="22">
        <f t="shared" si="60"/>
        <v>30</v>
      </c>
      <c r="AG364" s="22">
        <f t="shared" si="60"/>
        <v>31</v>
      </c>
    </row>
    <row r="365" spans="1:33" ht="18" x14ac:dyDescent="0.2">
      <c r="A365" s="25"/>
      <c r="B365" s="26"/>
      <c r="C365" s="22" t="str">
        <f>_xlfn.IFNA(IF(OR(C364="",C364=0),"",(VLOOKUP(B365,'น้ำยา-เครื่อง'!$A:$AF,C364+1,FALSE))),"")</f>
        <v/>
      </c>
      <c r="D365" s="22" t="str">
        <f>_xlfn.IFNA(IF(OR(D364="",D364=0),"",(VLOOKUP(B365,'น้ำยา-เครื่อง'!$A:$AF,D364+1,FALSE))),"")</f>
        <v/>
      </c>
      <c r="E365" s="22" t="str">
        <f>_xlfn.IFNA(IF(OR(E364="",E364=0),"",(VLOOKUP(B365,'น้ำยา-เครื่อง'!$A:$AF,E364+1,FALSE))),"")</f>
        <v/>
      </c>
      <c r="F365" s="22" t="str">
        <f>_xlfn.IFNA(IF(OR(F364="",F364=0),"",(VLOOKUP(B365,'น้ำยา-เครื่อง'!$A:$AF,F364+1,FALSE))),"")</f>
        <v/>
      </c>
      <c r="G365" s="22" t="str">
        <f>_xlfn.IFNA(IF(OR(G364="",G364=0),"",(VLOOKUP(B365,'น้ำยา-เครื่อง'!$A:$AF,G364+1,FALSE))),"")</f>
        <v/>
      </c>
      <c r="H365" s="22" t="str">
        <f>_xlfn.IFNA(IF(OR(H364="",H364=0),"",(VLOOKUP(B365,'น้ำยา-เครื่อง'!$A:$AF,H364+1,FALSE))),"")</f>
        <v/>
      </c>
      <c r="I365" s="22" t="str">
        <f>_xlfn.IFNA(IF(OR(I364="",I364=0),"",(VLOOKUP(B365,'น้ำยา-เครื่อง'!$A:$AF,I364+1,FALSE))),"")</f>
        <v/>
      </c>
      <c r="J365" s="22" t="str">
        <f>_xlfn.IFNA(IF(OR(J364="",J364=0),"",(VLOOKUP(B365,'น้ำยา-เครื่อง'!$A:$AF,J364+1,FALSE))),"")</f>
        <v/>
      </c>
      <c r="K365" s="22" t="str">
        <f>_xlfn.IFNA(IF(OR(K364="",K364=0),"",(VLOOKUP(B365,'น้ำยา-เครื่อง'!$A:$AF,K364+1,FALSE))),"")</f>
        <v/>
      </c>
      <c r="L365" s="22" t="str">
        <f>_xlfn.IFNA(IF(OR(L364="",L364=0),"",(VLOOKUP(B365,'น้ำยา-เครื่อง'!$A:$AF,L364+1,FALSE))),"")</f>
        <v/>
      </c>
      <c r="M365" s="22" t="str">
        <f>_xlfn.IFNA(IF(OR(M364="",M364=0),"",(VLOOKUP(B365,'น้ำยา-เครื่อง'!$A:$AF,M364+1,FALSE))),"")</f>
        <v/>
      </c>
      <c r="N365" s="22" t="str">
        <f>_xlfn.IFNA(IF(OR(N364="",N364=0),"",(VLOOKUP(B365,'น้ำยา-เครื่อง'!$A:$AF,N364+1,FALSE))),"")</f>
        <v/>
      </c>
      <c r="O365" s="22" t="str">
        <f>_xlfn.IFNA(IF(OR(O364="",O364=0),"",(VLOOKUP(B365,'น้ำยา-เครื่อง'!$A:$AF,O364+1,FALSE))),"")</f>
        <v/>
      </c>
      <c r="P365" s="22" t="str">
        <f>_xlfn.IFNA(IF(OR(P364="",P364=0),"",(VLOOKUP(B365,'น้ำยา-เครื่อง'!$A:$AF,P364+1,FALSE))),"")</f>
        <v/>
      </c>
      <c r="Q365" s="22" t="str">
        <f>_xlfn.IFNA(IF(OR(Q364="",Q364=0),"",(VLOOKUP(B365,'น้ำยา-เครื่อง'!$A:$AF,Q364+1,FALSE))),"")</f>
        <v/>
      </c>
      <c r="R365" s="22" t="str">
        <f>_xlfn.IFNA(IF(OR(R364="",R364=0),"",(VLOOKUP(B365,'น้ำยา-เครื่อง'!$A:$AF,R364+1,FALSE))),"")</f>
        <v/>
      </c>
      <c r="S365" s="22" t="str">
        <f>_xlfn.IFNA(IF(OR(S364="",S364=0),"",(VLOOKUP(B365,'น้ำยา-เครื่อง'!$A:$AF,S364+1,FALSE))),"")</f>
        <v/>
      </c>
      <c r="T365" s="22" t="str">
        <f>_xlfn.IFNA(IF(OR(T364="",T364=0),"",(VLOOKUP(B365,'น้ำยา-เครื่อง'!$A:$AF,T364+1,FALSE))),"")</f>
        <v/>
      </c>
      <c r="U365" s="22" t="str">
        <f>_xlfn.IFNA(IF(OR(U364="",U364=0),"",(VLOOKUP(B365,'น้ำยา-เครื่อง'!$A:$AF,U364+1,FALSE))),"")</f>
        <v/>
      </c>
      <c r="V365" s="22" t="str">
        <f>_xlfn.IFNA(IF(OR(V364="",V364=0),"",(VLOOKUP(B365,'น้ำยา-เครื่อง'!$A:$AF,V364+1,FALSE))),"")</f>
        <v/>
      </c>
      <c r="W365" s="22" t="str">
        <f>_xlfn.IFNA(IF(OR(W364="",W364=0),"",(VLOOKUP(B365,'น้ำยา-เครื่อง'!$A:$AF,W364+1,FALSE))),"")</f>
        <v/>
      </c>
      <c r="X365" s="22" t="str">
        <f>_xlfn.IFNA(IF(OR(X364="",X364=0),"",(VLOOKUP(B365,'น้ำยา-เครื่อง'!$A:$AF,X364+1,FALSE))),"")</f>
        <v/>
      </c>
      <c r="Y365" s="22" t="str">
        <f>_xlfn.IFNA(IF(OR(Y364="",Y364=0),"",(VLOOKUP(B365,'น้ำยา-เครื่อง'!$A:$AF,Y364+1,FALSE))),"")</f>
        <v/>
      </c>
      <c r="Z365" s="22" t="str">
        <f>_xlfn.IFNA(IF(OR(Z364="",Z364=0),"",(VLOOKUP(B365,'น้ำยา-เครื่อง'!$A:$AF,Z364+1,FALSE))),"")</f>
        <v/>
      </c>
      <c r="AA365" s="22" t="str">
        <f>_xlfn.IFNA(IF(OR(AA364="",AA364=0),"",(VLOOKUP(B365,'น้ำยา-เครื่อง'!$A:$AF,AA364+1,FALSE))),"")</f>
        <v/>
      </c>
      <c r="AB365" s="22" t="str">
        <f>_xlfn.IFNA(IF(OR(AB364="",AB364=0),"",(VLOOKUP(B365,'น้ำยา-เครื่อง'!$A:$AF,AB364+1,FALSE))),"")</f>
        <v/>
      </c>
      <c r="AC365" s="22" t="str">
        <f>_xlfn.IFNA(IF(OR(AC364="",AC364=0),"",(VLOOKUP(B365,'น้ำยา-เครื่อง'!$A:$AF,AC364+1,FALSE))),"")</f>
        <v/>
      </c>
      <c r="AD365" s="22" t="str">
        <f>_xlfn.IFNA(IF(OR(AD364="",AD364=0),"",(VLOOKUP(B365,'น้ำยา-เครื่อง'!$A:$AF,AD364+1,FALSE))),"")</f>
        <v/>
      </c>
      <c r="AE365" s="22" t="str">
        <f>_xlfn.IFNA(IF(OR(AE364="",AE364=0),"",(VLOOKUP(B365,'น้ำยา-เครื่อง'!$A:$AF,AE364+1,FALSE))),"")</f>
        <v/>
      </c>
      <c r="AF365" s="22" t="str">
        <f>_xlfn.IFNA(IF(OR(AF364="",AF364=0),"",(VLOOKUP(B365,'น้ำยา-เครื่อง'!$A:$AF,AF364+1,FALSE))),"")</f>
        <v/>
      </c>
      <c r="AG365" s="22" t="str">
        <f>_xlfn.IFNA(IF(OR(AG364="",AG364=0),"",(VLOOKUP(B365,'น้ำยา-เครื่อง'!$A:$AF,AG364+1,FALSE))),"")</f>
        <v/>
      </c>
    </row>
    <row r="366" spans="1:33" ht="18.75" customHeight="1" x14ac:dyDescent="0.2">
      <c r="A366" s="70" t="s">
        <v>294</v>
      </c>
      <c r="B366" s="27" t="s">
        <v>5</v>
      </c>
      <c r="C366" s="28"/>
      <c r="D366" s="28"/>
      <c r="E366" s="28"/>
      <c r="F366" s="28"/>
      <c r="G366" s="29"/>
      <c r="H366" s="28"/>
      <c r="I366" s="28"/>
      <c r="J366" s="28"/>
      <c r="K366" s="29"/>
      <c r="L366" s="28"/>
      <c r="M366" s="28"/>
      <c r="N366" s="28"/>
      <c r="O366" s="28"/>
      <c r="P366" s="29"/>
      <c r="Q366" s="28"/>
      <c r="R366" s="28"/>
      <c r="S366" s="28"/>
      <c r="T366" s="29"/>
      <c r="U366" s="28"/>
      <c r="V366" s="28"/>
      <c r="W366" s="28"/>
      <c r="X366" s="28"/>
      <c r="Y366" s="29"/>
      <c r="Z366" s="28"/>
      <c r="AA366" s="28"/>
      <c r="AB366" s="22"/>
      <c r="AC366" s="29"/>
      <c r="AD366" s="28"/>
      <c r="AE366" s="28"/>
      <c r="AF366" s="22"/>
      <c r="AG366" s="29"/>
    </row>
    <row r="367" spans="1:33" ht="18" x14ac:dyDescent="0.2">
      <c r="A367" s="70"/>
      <c r="B367" s="27" t="s">
        <v>6</v>
      </c>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row>
    <row r="368" spans="1:33" ht="18" x14ac:dyDescent="0.2">
      <c r="A368" s="70"/>
      <c r="B368" s="27"/>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row>
    <row r="369" spans="1:33" ht="18.75" customHeight="1" x14ac:dyDescent="0.2">
      <c r="A369" s="70" t="s">
        <v>293</v>
      </c>
      <c r="B369" s="27" t="s">
        <v>5</v>
      </c>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2"/>
      <c r="AC369" s="28"/>
      <c r="AD369" s="28"/>
      <c r="AE369" s="28"/>
      <c r="AF369" s="22" t="s">
        <v>60</v>
      </c>
      <c r="AG369" s="28"/>
    </row>
    <row r="370" spans="1:33" ht="18" x14ac:dyDescent="0.2">
      <c r="A370" s="70"/>
      <c r="B370" s="27" t="s">
        <v>6</v>
      </c>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row>
    <row r="371" spans="1:33" ht="18" x14ac:dyDescent="0.2">
      <c r="A371" s="70"/>
      <c r="B371" s="27"/>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row>
    <row r="372" spans="1:33" ht="18" x14ac:dyDescent="0.2">
      <c r="A372" s="70"/>
      <c r="B372" s="27" t="s">
        <v>5</v>
      </c>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2"/>
      <c r="AC372" s="28"/>
      <c r="AD372" s="28"/>
      <c r="AE372" s="28"/>
      <c r="AF372" s="22"/>
      <c r="AG372" s="28"/>
    </row>
    <row r="373" spans="1:33" ht="18" x14ac:dyDescent="0.2">
      <c r="A373" s="70"/>
      <c r="B373" s="27" t="s">
        <v>6</v>
      </c>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row>
    <row r="374" spans="1:33" ht="18" x14ac:dyDescent="0.2">
      <c r="A374" s="70"/>
      <c r="B374" s="27"/>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row>
    <row r="375" spans="1:33" ht="18.75" customHeight="1" x14ac:dyDescent="0.2">
      <c r="A375" s="20" t="s">
        <v>0</v>
      </c>
      <c r="B375" s="21" t="s">
        <v>2</v>
      </c>
      <c r="C375" s="98" t="str">
        <f>C315</f>
        <v>เดือน สิงหาคม</v>
      </c>
      <c r="D375" s="99"/>
      <c r="E375" s="99"/>
      <c r="F375" s="99"/>
      <c r="G375" s="99"/>
      <c r="H375" s="99"/>
      <c r="I375" s="99"/>
      <c r="J375" s="99"/>
      <c r="K375" s="99"/>
      <c r="L375" s="99"/>
      <c r="M375" s="99"/>
      <c r="N375" s="99"/>
      <c r="O375" s="99"/>
      <c r="P375" s="99"/>
      <c r="Q375" s="99"/>
      <c r="R375" s="99"/>
      <c r="S375" s="99"/>
      <c r="T375" s="99"/>
      <c r="U375" s="99"/>
      <c r="V375" s="99"/>
      <c r="W375" s="99"/>
      <c r="X375" s="99"/>
      <c r="Y375" s="99"/>
      <c r="Z375" s="99"/>
      <c r="AA375" s="99"/>
      <c r="AB375" s="99"/>
      <c r="AC375" s="99"/>
      <c r="AD375" s="99"/>
      <c r="AE375" s="99"/>
      <c r="AF375" s="99"/>
      <c r="AG375" s="99"/>
    </row>
    <row r="376" spans="1:33" ht="18" x14ac:dyDescent="0.2">
      <c r="A376" s="23" t="s">
        <v>1</v>
      </c>
      <c r="B376" s="24" t="s">
        <v>3</v>
      </c>
      <c r="C376" s="22">
        <f>C316</f>
        <v>1</v>
      </c>
      <c r="D376" s="22">
        <f t="shared" ref="D376:AG376" si="61">D316</f>
        <v>2</v>
      </c>
      <c r="E376" s="22">
        <f t="shared" si="61"/>
        <v>3</v>
      </c>
      <c r="F376" s="22">
        <f t="shared" si="61"/>
        <v>4</v>
      </c>
      <c r="G376" s="22">
        <f t="shared" si="61"/>
        <v>5</v>
      </c>
      <c r="H376" s="22">
        <f t="shared" si="61"/>
        <v>6</v>
      </c>
      <c r="I376" s="22">
        <f t="shared" si="61"/>
        <v>7</v>
      </c>
      <c r="J376" s="22">
        <f t="shared" si="61"/>
        <v>8</v>
      </c>
      <c r="K376" s="22">
        <f t="shared" si="61"/>
        <v>9</v>
      </c>
      <c r="L376" s="22">
        <f t="shared" si="61"/>
        <v>10</v>
      </c>
      <c r="M376" s="22">
        <f t="shared" si="61"/>
        <v>11</v>
      </c>
      <c r="N376" s="22">
        <f t="shared" si="61"/>
        <v>12</v>
      </c>
      <c r="O376" s="22">
        <f t="shared" si="61"/>
        <v>13</v>
      </c>
      <c r="P376" s="22">
        <f t="shared" si="61"/>
        <v>14</v>
      </c>
      <c r="Q376" s="22">
        <f t="shared" si="61"/>
        <v>15</v>
      </c>
      <c r="R376" s="22">
        <f t="shared" si="61"/>
        <v>16</v>
      </c>
      <c r="S376" s="22">
        <f t="shared" si="61"/>
        <v>17</v>
      </c>
      <c r="T376" s="22">
        <f t="shared" si="61"/>
        <v>18</v>
      </c>
      <c r="U376" s="22">
        <f t="shared" si="61"/>
        <v>19</v>
      </c>
      <c r="V376" s="22">
        <f t="shared" si="61"/>
        <v>20</v>
      </c>
      <c r="W376" s="22">
        <f t="shared" si="61"/>
        <v>21</v>
      </c>
      <c r="X376" s="22">
        <f t="shared" si="61"/>
        <v>22</v>
      </c>
      <c r="Y376" s="22">
        <f t="shared" si="61"/>
        <v>23</v>
      </c>
      <c r="Z376" s="22">
        <f t="shared" si="61"/>
        <v>24</v>
      </c>
      <c r="AA376" s="22">
        <f t="shared" si="61"/>
        <v>25</v>
      </c>
      <c r="AB376" s="22">
        <f t="shared" si="61"/>
        <v>26</v>
      </c>
      <c r="AC376" s="22">
        <f t="shared" si="61"/>
        <v>27</v>
      </c>
      <c r="AD376" s="22">
        <f t="shared" si="61"/>
        <v>28</v>
      </c>
      <c r="AE376" s="22">
        <f t="shared" si="61"/>
        <v>29</v>
      </c>
      <c r="AF376" s="22">
        <f t="shared" si="61"/>
        <v>30</v>
      </c>
      <c r="AG376" s="22">
        <f t="shared" si="61"/>
        <v>0</v>
      </c>
    </row>
    <row r="377" spans="1:33" ht="18" x14ac:dyDescent="0.2">
      <c r="A377" s="25"/>
      <c r="B377" s="26"/>
      <c r="C377" s="22" t="str">
        <f>_xlfn.IFNA(IF(OR(C376="",C376=0),"",(VLOOKUP($B377,'น้ำยา-เครื่อง'!$A$14:$AF$23,C376+1,FALSE))),"")</f>
        <v/>
      </c>
      <c r="D377" s="22" t="str">
        <f>_xlfn.IFNA(IF(OR(D376="",D376=0),"",(VLOOKUP($B377,'น้ำยา-เครื่อง'!$A$14:$AF$23,D376+1,FALSE))),"")</f>
        <v/>
      </c>
      <c r="E377" s="22" t="str">
        <f>_xlfn.IFNA(IF(OR(E376="",E376=0),"",(VLOOKUP($B377,'น้ำยา-เครื่อง'!$A$14:$AF$23,E376+1,FALSE))),"")</f>
        <v/>
      </c>
      <c r="F377" s="22" t="str">
        <f>_xlfn.IFNA(IF(OR(F376="",F376=0),"",(VLOOKUP($B377,'น้ำยา-เครื่อง'!$A$14:$AF$23,F376+1,FALSE))),"")</f>
        <v/>
      </c>
      <c r="G377" s="22" t="str">
        <f>_xlfn.IFNA(IF(OR(G376="",G376=0),"",(VLOOKUP($B377,'น้ำยา-เครื่อง'!$A$14:$AF$23,G376+1,FALSE))),"")</f>
        <v/>
      </c>
      <c r="H377" s="22" t="str">
        <f>_xlfn.IFNA(IF(OR(H376="",H376=0),"",(VLOOKUP($B377,'น้ำยา-เครื่อง'!$A$14:$AF$23,H376+1,FALSE))),"")</f>
        <v/>
      </c>
      <c r="I377" s="22" t="str">
        <f>_xlfn.IFNA(IF(OR(I376="",I376=0),"",(VLOOKUP($B377,'น้ำยา-เครื่อง'!$A$14:$AF$23,I376+1,FALSE))),"")</f>
        <v/>
      </c>
      <c r="J377" s="22" t="str">
        <f>_xlfn.IFNA(IF(OR(J376="",J376=0),"",(VLOOKUP($B377,'น้ำยา-เครื่อง'!$A$14:$AF$23,J376+1,FALSE))),"")</f>
        <v/>
      </c>
      <c r="K377" s="22" t="str">
        <f>_xlfn.IFNA(IF(OR(K376="",K376=0),"",(VLOOKUP($B377,'น้ำยา-เครื่อง'!$A$14:$AF$23,K376+1,FALSE))),"")</f>
        <v/>
      </c>
      <c r="L377" s="22" t="str">
        <f>_xlfn.IFNA(IF(OR(L376="",L376=0),"",(VLOOKUP($B377,'น้ำยา-เครื่อง'!$A$14:$AF$23,L376+1,FALSE))),"")</f>
        <v/>
      </c>
      <c r="M377" s="22" t="str">
        <f>_xlfn.IFNA(IF(OR(M376="",M376=0),"",(VLOOKUP($B377,'น้ำยา-เครื่อง'!$A$14:$AF$23,M376+1,FALSE))),"")</f>
        <v/>
      </c>
      <c r="N377" s="22" t="str">
        <f>_xlfn.IFNA(IF(OR(N376="",N376=0),"",(VLOOKUP($B377,'น้ำยา-เครื่อง'!$A$14:$AF$23,N376+1,FALSE))),"")</f>
        <v/>
      </c>
      <c r="O377" s="22" t="str">
        <f>_xlfn.IFNA(IF(OR(O376="",O376=0),"",(VLOOKUP($B377,'น้ำยา-เครื่อง'!$A$14:$AF$23,O376+1,FALSE))),"")</f>
        <v/>
      </c>
      <c r="P377" s="22" t="str">
        <f>_xlfn.IFNA(IF(OR(P376="",P376=0),"",(VLOOKUP($B377,'น้ำยา-เครื่อง'!$A$14:$AF$23,P376+1,FALSE))),"")</f>
        <v/>
      </c>
      <c r="Q377" s="22" t="str">
        <f>_xlfn.IFNA(IF(OR(Q376="",Q376=0),"",(VLOOKUP($B377,'น้ำยา-เครื่อง'!$A$14:$AF$23,Q376+1,FALSE))),"")</f>
        <v/>
      </c>
      <c r="R377" s="22" t="str">
        <f>_xlfn.IFNA(IF(OR(R376="",R376=0),"",(VLOOKUP($B377,'น้ำยา-เครื่อง'!$A$14:$AF$23,R376+1,FALSE))),"")</f>
        <v/>
      </c>
      <c r="S377" s="22" t="str">
        <f>_xlfn.IFNA(IF(OR(S376="",S376=0),"",(VLOOKUP($B377,'น้ำยา-เครื่อง'!$A$14:$AF$23,S376+1,FALSE))),"")</f>
        <v/>
      </c>
      <c r="T377" s="22" t="str">
        <f>_xlfn.IFNA(IF(OR(T376="",T376=0),"",(VLOOKUP($B377,'น้ำยา-เครื่อง'!$A$14:$AF$23,T376+1,FALSE))),"")</f>
        <v/>
      </c>
      <c r="U377" s="22" t="str">
        <f>_xlfn.IFNA(IF(OR(U376="",U376=0),"",(VLOOKUP($B377,'น้ำยา-เครื่อง'!$A$14:$AF$23,U376+1,FALSE))),"")</f>
        <v/>
      </c>
      <c r="V377" s="22" t="str">
        <f>_xlfn.IFNA(IF(OR(V376="",V376=0),"",(VLOOKUP($B377,'น้ำยา-เครื่อง'!$A$14:$AF$23,V376+1,FALSE))),"")</f>
        <v/>
      </c>
      <c r="W377" s="22" t="str">
        <f>_xlfn.IFNA(IF(OR(W376="",W376=0),"",(VLOOKUP($B377,'น้ำยา-เครื่อง'!$A$14:$AF$23,W376+1,FALSE))),"")</f>
        <v/>
      </c>
      <c r="X377" s="22" t="str">
        <f>_xlfn.IFNA(IF(OR(X376="",X376=0),"",(VLOOKUP($B377,'น้ำยา-เครื่อง'!$A$14:$AF$23,X376+1,FALSE))),"")</f>
        <v/>
      </c>
      <c r="Y377" s="22" t="str">
        <f>_xlfn.IFNA(IF(OR(Y376="",Y376=0),"",(VLOOKUP($B377,'น้ำยา-เครื่อง'!$A$14:$AF$23,Y376+1,FALSE))),"")</f>
        <v/>
      </c>
      <c r="Z377" s="22" t="str">
        <f>_xlfn.IFNA(IF(OR(Z376="",Z376=0),"",(VLOOKUP($B377,'น้ำยา-เครื่อง'!$A$14:$AF$23,Z376+1,FALSE))),"")</f>
        <v/>
      </c>
      <c r="AA377" s="22" t="str">
        <f>_xlfn.IFNA(IF(OR(AA376="",AA376=0),"",(VLOOKUP($B377,'น้ำยา-เครื่อง'!$A$14:$AF$23,AA376+1,FALSE))),"")</f>
        <v/>
      </c>
      <c r="AB377" s="22" t="str">
        <f>_xlfn.IFNA(IF(OR(AB376="",AB376=0),"",(VLOOKUP($B377,'น้ำยา-เครื่อง'!$A$14:$AF$23,AB376+1,FALSE))),"")</f>
        <v/>
      </c>
      <c r="AC377" s="22" t="str">
        <f>_xlfn.IFNA(IF(OR(AC376="",AC376=0),"",(VLOOKUP($B377,'น้ำยา-เครื่อง'!$A$14:$AF$23,AC376+1,FALSE))),"")</f>
        <v/>
      </c>
      <c r="AD377" s="22" t="str">
        <f>_xlfn.IFNA(IF(OR(AD376="",AD376=0),"",(VLOOKUP($B377,'น้ำยา-เครื่อง'!$A$14:$AF$23,AD376+1,FALSE))),"")</f>
        <v/>
      </c>
      <c r="AE377" s="22" t="str">
        <f>_xlfn.IFNA(IF(OR(AE376="",AE376=0),"",(VLOOKUP($B377,'น้ำยา-เครื่อง'!$A$14:$AF$23,AE376+1,FALSE))),"")</f>
        <v/>
      </c>
      <c r="AF377" s="22" t="str">
        <f>_xlfn.IFNA(IF(OR(AF376="",AF376=0),"",(VLOOKUP($B377,'น้ำยา-เครื่อง'!$A$14:$AF$23,AF376+1,FALSE))),"")</f>
        <v/>
      </c>
      <c r="AG377" s="22" t="str">
        <f>_xlfn.IFNA(IF(OR(AG376="",AG376=0),"",(VLOOKUP($B377,'น้ำยา-เครื่อง'!$A$14:$AF$23,AG376+1,FALSE))),"")</f>
        <v/>
      </c>
    </row>
    <row r="378" spans="1:33" ht="18.75" customHeight="1" x14ac:dyDescent="0.2">
      <c r="A378" s="70" t="s">
        <v>294</v>
      </c>
      <c r="B378" s="27" t="s">
        <v>5</v>
      </c>
      <c r="C378" s="28"/>
      <c r="D378" s="28"/>
      <c r="E378" s="28"/>
      <c r="F378" s="28"/>
      <c r="G378" s="29"/>
      <c r="H378" s="28"/>
      <c r="I378" s="28"/>
      <c r="J378" s="28"/>
      <c r="K378" s="29"/>
      <c r="L378" s="28"/>
      <c r="M378" s="28"/>
      <c r="N378" s="28"/>
      <c r="O378" s="28"/>
      <c r="P378" s="29"/>
      <c r="Q378" s="28"/>
      <c r="R378" s="28"/>
      <c r="S378" s="28"/>
      <c r="T378" s="29"/>
      <c r="U378" s="28"/>
      <c r="V378" s="28"/>
      <c r="W378" s="28"/>
      <c r="X378" s="28"/>
      <c r="Y378" s="29"/>
      <c r="Z378" s="28"/>
      <c r="AA378" s="28"/>
      <c r="AB378" s="22"/>
      <c r="AC378" s="29"/>
      <c r="AD378" s="28"/>
      <c r="AE378" s="28"/>
      <c r="AF378" s="22"/>
      <c r="AG378" s="29"/>
    </row>
    <row r="379" spans="1:33" ht="18" x14ac:dyDescent="0.2">
      <c r="A379" s="70"/>
      <c r="B379" s="27" t="s">
        <v>6</v>
      </c>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row>
    <row r="380" spans="1:33" ht="18" x14ac:dyDescent="0.2">
      <c r="A380" s="70"/>
      <c r="B380" s="27"/>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row>
    <row r="381" spans="1:33" ht="18.75" customHeight="1" x14ac:dyDescent="0.2">
      <c r="A381" s="70" t="s">
        <v>293</v>
      </c>
      <c r="B381" s="27" t="s">
        <v>5</v>
      </c>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2"/>
      <c r="AC381" s="28"/>
      <c r="AD381" s="28"/>
      <c r="AE381" s="28"/>
      <c r="AF381" s="22"/>
      <c r="AG381" s="28"/>
    </row>
    <row r="382" spans="1:33" ht="18" x14ac:dyDescent="0.2">
      <c r="A382" s="70"/>
      <c r="B382" s="27" t="s">
        <v>6</v>
      </c>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row>
    <row r="383" spans="1:33" ht="18" x14ac:dyDescent="0.2">
      <c r="A383" s="70"/>
      <c r="B383" s="27"/>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row>
    <row r="384" spans="1:33" ht="18" customHeight="1" x14ac:dyDescent="0.2">
      <c r="A384" s="70"/>
      <c r="B384" s="27" t="s">
        <v>5</v>
      </c>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2"/>
      <c r="AC384" s="28"/>
      <c r="AD384" s="28"/>
      <c r="AE384" s="28"/>
      <c r="AF384" s="22"/>
      <c r="AG384" s="28"/>
    </row>
    <row r="385" spans="1:33" ht="18" x14ac:dyDescent="0.2">
      <c r="A385" s="70"/>
      <c r="B385" s="27" t="s">
        <v>6</v>
      </c>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row>
    <row r="386" spans="1:33" ht="18" x14ac:dyDescent="0.2">
      <c r="A386" s="70"/>
      <c r="B386" s="27"/>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row>
    <row r="387" spans="1:33" ht="18" x14ac:dyDescent="0.4">
      <c r="A387" s="4" t="s">
        <v>219</v>
      </c>
      <c r="B387" s="4"/>
      <c r="C387" s="4"/>
      <c r="D387" s="4"/>
      <c r="E387" s="4"/>
      <c r="F387" s="4"/>
      <c r="G387" s="4"/>
      <c r="H387" s="4"/>
      <c r="I387" s="4"/>
      <c r="J387" s="4"/>
      <c r="K387" s="4"/>
      <c r="L387" s="4"/>
      <c r="M387" s="4"/>
      <c r="N387" s="4"/>
      <c r="O387" s="4"/>
      <c r="P387" s="4"/>
      <c r="Q387" s="4"/>
      <c r="R387" s="4"/>
      <c r="S387" s="4"/>
      <c r="T387" s="4"/>
      <c r="U387" s="10"/>
      <c r="V387" s="10"/>
      <c r="W387" s="71" t="s">
        <v>186</v>
      </c>
      <c r="X387" s="71"/>
      <c r="Y387" s="71"/>
      <c r="Z387" s="71"/>
      <c r="AA387" s="71"/>
      <c r="AB387" s="71"/>
      <c r="AC387" s="71"/>
      <c r="AD387" s="10"/>
      <c r="AE387" s="10"/>
      <c r="AF387" s="10"/>
      <c r="AG387" s="10"/>
    </row>
    <row r="388" spans="1:33" ht="18" x14ac:dyDescent="0.4">
      <c r="A388" s="7"/>
      <c r="B388" s="7"/>
      <c r="C388" s="7"/>
      <c r="D388" s="7"/>
      <c r="E388" s="7"/>
      <c r="F388" s="7"/>
      <c r="G388" s="7"/>
      <c r="H388" s="7"/>
      <c r="I388" s="7"/>
      <c r="J388" s="7"/>
      <c r="K388" s="7"/>
      <c r="L388" s="7"/>
      <c r="M388" s="7"/>
      <c r="N388" s="7"/>
      <c r="O388" s="7"/>
      <c r="P388" s="7"/>
      <c r="Q388" s="7"/>
      <c r="R388" s="7"/>
      <c r="S388" s="7"/>
      <c r="T388" s="7"/>
      <c r="U388" s="38"/>
      <c r="V388" s="38"/>
      <c r="W388" s="7"/>
      <c r="X388" s="7"/>
      <c r="Y388" s="7"/>
      <c r="Z388" s="7"/>
      <c r="AA388" s="7"/>
      <c r="AB388" s="7"/>
      <c r="AC388" s="7"/>
      <c r="AD388" s="7"/>
      <c r="AE388" s="7"/>
      <c r="AF388" s="7"/>
      <c r="AG388" s="7"/>
    </row>
    <row r="389" spans="1:33" ht="18" x14ac:dyDescent="0.4">
      <c r="A389" s="9"/>
      <c r="B389" s="9"/>
      <c r="C389" s="9"/>
      <c r="D389" s="9"/>
      <c r="E389" s="9"/>
      <c r="F389" s="9"/>
      <c r="G389" s="9"/>
      <c r="H389" s="9"/>
      <c r="I389" s="9"/>
      <c r="J389" s="9"/>
      <c r="K389" s="9"/>
      <c r="L389" s="9"/>
      <c r="M389" s="9"/>
      <c r="N389" s="9"/>
      <c r="O389" s="9"/>
      <c r="P389" s="72" t="s">
        <v>28</v>
      </c>
      <c r="Q389" s="72"/>
      <c r="R389" s="73" t="str">
        <f>IF(R329=0,"",R329)</f>
        <v>พีรวัส</v>
      </c>
      <c r="S389" s="73"/>
      <c r="T389" s="73"/>
      <c r="U389" s="97" t="s">
        <v>221</v>
      </c>
      <c r="V389" s="97"/>
      <c r="W389" s="73" t="str">
        <f>IF(W329=0,"",W329)</f>
        <v>วรพงศ์</v>
      </c>
      <c r="X389" s="73"/>
      <c r="Y389" s="73"/>
      <c r="Z389" s="8" t="s">
        <v>29</v>
      </c>
      <c r="AA389" s="74">
        <f>IF(AA269=0,"",AA269)</f>
        <v>46204</v>
      </c>
      <c r="AB389" s="73"/>
      <c r="AC389" s="73"/>
      <c r="AD389" s="9"/>
      <c r="AE389" s="73"/>
      <c r="AF389" s="73"/>
      <c r="AG389" s="73"/>
    </row>
    <row r="391" spans="1:33" ht="23.25" x14ac:dyDescent="0.5">
      <c r="A391" s="80" t="s">
        <v>210</v>
      </c>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row>
    <row r="392" spans="1:33" ht="21" x14ac:dyDescent="0.45">
      <c r="A392" s="6" t="s">
        <v>22</v>
      </c>
      <c r="B392" s="88" t="s">
        <v>223</v>
      </c>
      <c r="C392" s="88"/>
      <c r="D392" s="88"/>
      <c r="E392" s="88"/>
      <c r="F392" s="88"/>
      <c r="G392" s="88"/>
      <c r="H392" s="6" t="s">
        <v>24</v>
      </c>
      <c r="I392" s="84" t="s">
        <v>222</v>
      </c>
      <c r="J392" s="88"/>
      <c r="K392" s="88"/>
      <c r="L392" s="88"/>
      <c r="M392" s="83" t="s">
        <v>25</v>
      </c>
      <c r="N392" s="83"/>
      <c r="O392" s="81" t="s">
        <v>224</v>
      </c>
      <c r="P392" s="81"/>
      <c r="Q392" s="81"/>
      <c r="R392" s="81"/>
      <c r="S392" s="81"/>
      <c r="T392" s="6" t="s">
        <v>20</v>
      </c>
      <c r="U392" s="101">
        <f>$U$2</f>
        <v>2569</v>
      </c>
      <c r="V392" s="101"/>
      <c r="W392" s="83" t="s">
        <v>35</v>
      </c>
      <c r="X392" s="83"/>
      <c r="Y392" s="83"/>
      <c r="Z392" s="1" t="s">
        <v>297</v>
      </c>
      <c r="AA392" s="1"/>
      <c r="AB392" s="1"/>
      <c r="AC392" s="1"/>
    </row>
    <row r="393" spans="1:33" ht="18.75" customHeight="1" x14ac:dyDescent="0.2">
      <c r="A393" s="20" t="s">
        <v>0</v>
      </c>
      <c r="B393" s="21" t="s">
        <v>2</v>
      </c>
      <c r="C393" s="98" t="str">
        <f>C333</f>
        <v>เดือน กรกฏาคม</v>
      </c>
      <c r="D393" s="99"/>
      <c r="E393" s="99"/>
      <c r="F393" s="99"/>
      <c r="G393" s="99"/>
      <c r="H393" s="99"/>
      <c r="I393" s="99"/>
      <c r="J393" s="99"/>
      <c r="K393" s="99"/>
      <c r="L393" s="99"/>
      <c r="M393" s="99"/>
      <c r="N393" s="99"/>
      <c r="O393" s="99"/>
      <c r="P393" s="99"/>
      <c r="Q393" s="99"/>
      <c r="R393" s="99"/>
      <c r="S393" s="99"/>
      <c r="T393" s="99"/>
      <c r="U393" s="99"/>
      <c r="V393" s="99"/>
      <c r="W393" s="99"/>
      <c r="X393" s="99"/>
      <c r="Y393" s="99"/>
      <c r="Z393" s="99"/>
      <c r="AA393" s="99"/>
      <c r="AB393" s="99"/>
      <c r="AC393" s="99"/>
      <c r="AD393" s="99"/>
      <c r="AE393" s="99"/>
      <c r="AF393" s="99"/>
      <c r="AG393" s="99"/>
    </row>
    <row r="394" spans="1:33" ht="18" x14ac:dyDescent="0.2">
      <c r="A394" s="23" t="s">
        <v>1</v>
      </c>
      <c r="B394" s="24" t="s">
        <v>3</v>
      </c>
      <c r="C394" s="22">
        <f>C334</f>
        <v>1</v>
      </c>
      <c r="D394" s="22">
        <f t="shared" ref="D394:AG394" si="62">D334</f>
        <v>2</v>
      </c>
      <c r="E394" s="22">
        <f t="shared" si="62"/>
        <v>3</v>
      </c>
      <c r="F394" s="22">
        <f t="shared" si="62"/>
        <v>4</v>
      </c>
      <c r="G394" s="22">
        <f t="shared" si="62"/>
        <v>5</v>
      </c>
      <c r="H394" s="22">
        <f t="shared" si="62"/>
        <v>6</v>
      </c>
      <c r="I394" s="22">
        <f t="shared" si="62"/>
        <v>7</v>
      </c>
      <c r="J394" s="22">
        <f t="shared" si="62"/>
        <v>8</v>
      </c>
      <c r="K394" s="22">
        <f t="shared" si="62"/>
        <v>9</v>
      </c>
      <c r="L394" s="22">
        <f t="shared" si="62"/>
        <v>10</v>
      </c>
      <c r="M394" s="22">
        <f t="shared" si="62"/>
        <v>11</v>
      </c>
      <c r="N394" s="22">
        <f t="shared" si="62"/>
        <v>12</v>
      </c>
      <c r="O394" s="22">
        <f t="shared" si="62"/>
        <v>13</v>
      </c>
      <c r="P394" s="22">
        <f t="shared" si="62"/>
        <v>14</v>
      </c>
      <c r="Q394" s="22">
        <f t="shared" si="62"/>
        <v>15</v>
      </c>
      <c r="R394" s="22">
        <f t="shared" si="62"/>
        <v>16</v>
      </c>
      <c r="S394" s="22">
        <f t="shared" si="62"/>
        <v>17</v>
      </c>
      <c r="T394" s="22">
        <f t="shared" si="62"/>
        <v>18</v>
      </c>
      <c r="U394" s="22">
        <f t="shared" si="62"/>
        <v>19</v>
      </c>
      <c r="V394" s="22">
        <f t="shared" si="62"/>
        <v>20</v>
      </c>
      <c r="W394" s="22">
        <f t="shared" si="62"/>
        <v>21</v>
      </c>
      <c r="X394" s="22">
        <f t="shared" si="62"/>
        <v>22</v>
      </c>
      <c r="Y394" s="22">
        <f t="shared" si="62"/>
        <v>23</v>
      </c>
      <c r="Z394" s="22">
        <f t="shared" si="62"/>
        <v>24</v>
      </c>
      <c r="AA394" s="22">
        <f t="shared" si="62"/>
        <v>25</v>
      </c>
      <c r="AB394" s="22">
        <f t="shared" si="62"/>
        <v>26</v>
      </c>
      <c r="AC394" s="22">
        <f t="shared" si="62"/>
        <v>27</v>
      </c>
      <c r="AD394" s="22">
        <f t="shared" si="62"/>
        <v>28</v>
      </c>
      <c r="AE394" s="22">
        <f t="shared" si="62"/>
        <v>29</v>
      </c>
      <c r="AF394" s="22">
        <f t="shared" si="62"/>
        <v>30</v>
      </c>
      <c r="AG394" s="22">
        <f t="shared" si="62"/>
        <v>31</v>
      </c>
    </row>
    <row r="395" spans="1:33" ht="18" x14ac:dyDescent="0.2">
      <c r="A395" s="25"/>
      <c r="B395" s="26"/>
      <c r="C395" s="22" t="str">
        <f>_xlfn.IFNA(IF(OR(C394="",C394=0),"",(VLOOKUP(B395,'น้ำยา-เครื่อง'!$A:$AF,C394+1,FALSE))),"")</f>
        <v/>
      </c>
      <c r="D395" s="22" t="str">
        <f>_xlfn.IFNA(IF(OR(D394="",D394=0),"",(VLOOKUP(B395,'น้ำยา-เครื่อง'!$A:$AF,D394+1,FALSE))),"")</f>
        <v/>
      </c>
      <c r="E395" s="22" t="str">
        <f>_xlfn.IFNA(IF(OR(E394="",E394=0),"",(VLOOKUP(B395,'น้ำยา-เครื่อง'!$A:$AF,E394+1,FALSE))),"")</f>
        <v/>
      </c>
      <c r="F395" s="22" t="str">
        <f>_xlfn.IFNA(IF(OR(F394="",F394=0),"",(VLOOKUP(B395,'น้ำยา-เครื่อง'!$A:$AF,F394+1,FALSE))),"")</f>
        <v/>
      </c>
      <c r="G395" s="22" t="str">
        <f>_xlfn.IFNA(IF(OR(G394="",G394=0),"",(VLOOKUP(B395,'น้ำยา-เครื่อง'!$A:$AF,G394+1,FALSE))),"")</f>
        <v/>
      </c>
      <c r="H395" s="22" t="str">
        <f>_xlfn.IFNA(IF(OR(H394="",H394=0),"",(VLOOKUP(B395,'น้ำยา-เครื่อง'!$A:$AF,H394+1,FALSE))),"")</f>
        <v/>
      </c>
      <c r="I395" s="22" t="str">
        <f>_xlfn.IFNA(IF(OR(I394="",I394=0),"",(VLOOKUP(B395,'น้ำยา-เครื่อง'!$A:$AF,I394+1,FALSE))),"")</f>
        <v/>
      </c>
      <c r="J395" s="22" t="str">
        <f>_xlfn.IFNA(IF(OR(J394="",J394=0),"",(VLOOKUP(B395,'น้ำยา-เครื่อง'!$A:$AF,J394+1,FALSE))),"")</f>
        <v/>
      </c>
      <c r="K395" s="22" t="str">
        <f>_xlfn.IFNA(IF(OR(K394="",K394=0),"",(VLOOKUP(B395,'น้ำยา-เครื่อง'!$A:$AF,K394+1,FALSE))),"")</f>
        <v/>
      </c>
      <c r="L395" s="22" t="str">
        <f>_xlfn.IFNA(IF(OR(L394="",L394=0),"",(VLOOKUP(B395,'น้ำยา-เครื่อง'!$A:$AF,L394+1,FALSE))),"")</f>
        <v/>
      </c>
      <c r="M395" s="22" t="str">
        <f>_xlfn.IFNA(IF(OR(M394="",M394=0),"",(VLOOKUP(B395,'น้ำยา-เครื่อง'!$A:$AF,M394+1,FALSE))),"")</f>
        <v/>
      </c>
      <c r="N395" s="22" t="str">
        <f>_xlfn.IFNA(IF(OR(N394="",N394=0),"",(VLOOKUP(B395,'น้ำยา-เครื่อง'!$A:$AF,N394+1,FALSE))),"")</f>
        <v/>
      </c>
      <c r="O395" s="22" t="str">
        <f>_xlfn.IFNA(IF(OR(O394="",O394=0),"",(VLOOKUP(B395,'น้ำยา-เครื่อง'!$A:$AF,O394+1,FALSE))),"")</f>
        <v/>
      </c>
      <c r="P395" s="22" t="str">
        <f>_xlfn.IFNA(IF(OR(P394="",P394=0),"",(VLOOKUP(B395,'น้ำยา-เครื่อง'!$A:$AF,P394+1,FALSE))),"")</f>
        <v/>
      </c>
      <c r="Q395" s="22" t="str">
        <f>_xlfn.IFNA(IF(OR(Q394="",Q394=0),"",(VLOOKUP(B395,'น้ำยา-เครื่อง'!$A:$AF,Q394+1,FALSE))),"")</f>
        <v/>
      </c>
      <c r="R395" s="22" t="str">
        <f>_xlfn.IFNA(IF(OR(R394="",R394=0),"",(VLOOKUP(B395,'น้ำยา-เครื่อง'!$A:$AF,R394+1,FALSE))),"")</f>
        <v/>
      </c>
      <c r="S395" s="22" t="str">
        <f>_xlfn.IFNA(IF(OR(S394="",S394=0),"",(VLOOKUP(B395,'น้ำยา-เครื่อง'!$A:$AF,S394+1,FALSE))),"")</f>
        <v/>
      </c>
      <c r="T395" s="22" t="str">
        <f>_xlfn.IFNA(IF(OR(T394="",T394=0),"",(VLOOKUP(B395,'น้ำยา-เครื่อง'!$A:$AF,T394+1,FALSE))),"")</f>
        <v/>
      </c>
      <c r="U395" s="22" t="str">
        <f>_xlfn.IFNA(IF(OR(U394="",U394=0),"",(VLOOKUP(B395,'น้ำยา-เครื่อง'!$A:$AF,U394+1,FALSE))),"")</f>
        <v/>
      </c>
      <c r="V395" s="22" t="str">
        <f>_xlfn.IFNA(IF(OR(V394="",V394=0),"",(VLOOKUP(B395,'น้ำยา-เครื่อง'!$A:$AF,V394+1,FALSE))),"")</f>
        <v/>
      </c>
      <c r="W395" s="22" t="str">
        <f>_xlfn.IFNA(IF(OR(W394="",W394=0),"",(VLOOKUP(B395,'น้ำยา-เครื่อง'!$A:$AF,W394+1,FALSE))),"")</f>
        <v/>
      </c>
      <c r="X395" s="22" t="str">
        <f>_xlfn.IFNA(IF(OR(X394="",X394=0),"",(VLOOKUP(B395,'น้ำยา-เครื่อง'!$A:$AF,X394+1,FALSE))),"")</f>
        <v/>
      </c>
      <c r="Y395" s="22" t="str">
        <f>_xlfn.IFNA(IF(OR(Y394="",Y394=0),"",(VLOOKUP(B395,'น้ำยา-เครื่อง'!$A:$AF,Y394+1,FALSE))),"")</f>
        <v/>
      </c>
      <c r="Z395" s="22" t="str">
        <f>_xlfn.IFNA(IF(OR(Z394="",Z394=0),"",(VLOOKUP(B395,'น้ำยา-เครื่อง'!$A:$AF,Z394+1,FALSE))),"")</f>
        <v/>
      </c>
      <c r="AA395" s="22" t="str">
        <f>_xlfn.IFNA(IF(OR(AA394="",AA394=0),"",(VLOOKUP(B395,'น้ำยา-เครื่อง'!$A:$AF,AA394+1,FALSE))),"")</f>
        <v/>
      </c>
      <c r="AB395" s="22" t="str">
        <f>_xlfn.IFNA(IF(OR(AB394="",AB394=0),"",(VLOOKUP(B395,'น้ำยา-เครื่อง'!$A:$AF,AB394+1,FALSE))),"")</f>
        <v/>
      </c>
      <c r="AC395" s="22" t="str">
        <f>_xlfn.IFNA(IF(OR(AC394="",AC394=0),"",(VLOOKUP(B395,'น้ำยา-เครื่อง'!$A:$AF,AC394+1,FALSE))),"")</f>
        <v/>
      </c>
      <c r="AD395" s="22" t="str">
        <f>_xlfn.IFNA(IF(OR(AD394="",AD394=0),"",(VLOOKUP(B395,'น้ำยา-เครื่อง'!$A:$AF,AD394+1,FALSE))),"")</f>
        <v/>
      </c>
      <c r="AE395" s="22" t="str">
        <f>_xlfn.IFNA(IF(OR(AE394="",AE394=0),"",(VLOOKUP(B395,'น้ำยา-เครื่อง'!$A:$AF,AE394+1,FALSE))),"")</f>
        <v/>
      </c>
      <c r="AF395" s="22" t="str">
        <f>_xlfn.IFNA(IF(OR(AF394="",AF394=0),"",(VLOOKUP(B395,'น้ำยา-เครื่อง'!$A:$AF,AF394+1,FALSE))),"")</f>
        <v/>
      </c>
      <c r="AG395" s="22" t="str">
        <f>_xlfn.IFNA(IF(OR(AG394="",AG394=0),"",(VLOOKUP(B395,'น้ำยา-เครื่อง'!$A:$AF,AG394+1,FALSE))),"")</f>
        <v/>
      </c>
    </row>
    <row r="396" spans="1:33" ht="18.75" customHeight="1" x14ac:dyDescent="0.2">
      <c r="A396" s="70" t="s">
        <v>296</v>
      </c>
      <c r="B396" s="27" t="s">
        <v>5</v>
      </c>
      <c r="C396" s="28"/>
      <c r="D396" s="28"/>
      <c r="E396" s="28"/>
      <c r="F396" s="28"/>
      <c r="G396" s="29"/>
      <c r="H396" s="28"/>
      <c r="I396" s="28"/>
      <c r="J396" s="28"/>
      <c r="K396" s="29"/>
      <c r="L396" s="28"/>
      <c r="M396" s="28"/>
      <c r="N396" s="28"/>
      <c r="O396" s="28"/>
      <c r="P396" s="29"/>
      <c r="Q396" s="28"/>
      <c r="R396" s="28"/>
      <c r="S396" s="28"/>
      <c r="T396" s="29"/>
      <c r="U396" s="28"/>
      <c r="V396" s="28"/>
      <c r="W396" s="28"/>
      <c r="X396" s="28"/>
      <c r="Y396" s="29"/>
      <c r="Z396" s="28"/>
      <c r="AA396" s="28"/>
      <c r="AB396" s="22"/>
      <c r="AC396" s="29"/>
      <c r="AD396" s="28"/>
      <c r="AE396" s="28"/>
      <c r="AF396" s="22"/>
      <c r="AG396" s="29"/>
    </row>
    <row r="397" spans="1:33" ht="18" x14ac:dyDescent="0.2">
      <c r="A397" s="70"/>
      <c r="B397" s="27" t="s">
        <v>6</v>
      </c>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row>
    <row r="398" spans="1:33" ht="18" x14ac:dyDescent="0.2">
      <c r="A398" s="70"/>
      <c r="B398" s="27"/>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row>
    <row r="399" spans="1:33" ht="18.75" customHeight="1" x14ac:dyDescent="0.2">
      <c r="A399" s="70" t="s">
        <v>295</v>
      </c>
      <c r="B399" s="27" t="s">
        <v>5</v>
      </c>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2"/>
      <c r="AC399" s="28"/>
      <c r="AD399" s="28"/>
      <c r="AE399" s="28"/>
      <c r="AF399" s="22"/>
      <c r="AG399" s="28"/>
    </row>
    <row r="400" spans="1:33" ht="18" x14ac:dyDescent="0.2">
      <c r="A400" s="70"/>
      <c r="B400" s="27" t="s">
        <v>6</v>
      </c>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row>
    <row r="401" spans="1:33" ht="18" x14ac:dyDescent="0.2">
      <c r="A401" s="70"/>
      <c r="B401" s="27"/>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row>
    <row r="402" spans="1:33" ht="18" x14ac:dyDescent="0.2">
      <c r="A402" s="70" t="s">
        <v>225</v>
      </c>
      <c r="B402" s="27" t="s">
        <v>5</v>
      </c>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2"/>
      <c r="AC402" s="28"/>
      <c r="AD402" s="28"/>
      <c r="AE402" s="28"/>
      <c r="AF402" s="22"/>
      <c r="AG402" s="28"/>
    </row>
    <row r="403" spans="1:33" ht="18" x14ac:dyDescent="0.2">
      <c r="A403" s="70"/>
      <c r="B403" s="27" t="s">
        <v>6</v>
      </c>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row>
    <row r="404" spans="1:33" ht="18" x14ac:dyDescent="0.2">
      <c r="A404" s="70"/>
      <c r="B404" s="27"/>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row>
    <row r="405" spans="1:33" ht="18.75" customHeight="1" x14ac:dyDescent="0.2">
      <c r="A405" s="20" t="s">
        <v>0</v>
      </c>
      <c r="B405" s="21" t="s">
        <v>2</v>
      </c>
      <c r="C405" s="98" t="str">
        <f>C345</f>
        <v>เดือน สิงหาคม</v>
      </c>
      <c r="D405" s="99"/>
      <c r="E405" s="99"/>
      <c r="F405" s="99"/>
      <c r="G405" s="99"/>
      <c r="H405" s="99"/>
      <c r="I405" s="99"/>
      <c r="J405" s="99"/>
      <c r="K405" s="99"/>
      <c r="L405" s="99"/>
      <c r="M405" s="99"/>
      <c r="N405" s="99"/>
      <c r="O405" s="99"/>
      <c r="P405" s="99"/>
      <c r="Q405" s="99"/>
      <c r="R405" s="99"/>
      <c r="S405" s="99"/>
      <c r="T405" s="99"/>
      <c r="U405" s="99"/>
      <c r="V405" s="99"/>
      <c r="W405" s="99"/>
      <c r="X405" s="99"/>
      <c r="Y405" s="99"/>
      <c r="Z405" s="99"/>
      <c r="AA405" s="99"/>
      <c r="AB405" s="99"/>
      <c r="AC405" s="99"/>
      <c r="AD405" s="99"/>
      <c r="AE405" s="99"/>
      <c r="AF405" s="99"/>
      <c r="AG405" s="99"/>
    </row>
    <row r="406" spans="1:33" ht="18" x14ac:dyDescent="0.2">
      <c r="A406" s="23" t="s">
        <v>1</v>
      </c>
      <c r="B406" s="24" t="s">
        <v>3</v>
      </c>
      <c r="C406" s="22">
        <f>C346</f>
        <v>1</v>
      </c>
      <c r="D406" s="22">
        <f t="shared" ref="D406:AG406" si="63">D346</f>
        <v>2</v>
      </c>
      <c r="E406" s="22">
        <f t="shared" si="63"/>
        <v>3</v>
      </c>
      <c r="F406" s="22">
        <f t="shared" si="63"/>
        <v>4</v>
      </c>
      <c r="G406" s="22">
        <f t="shared" si="63"/>
        <v>5</v>
      </c>
      <c r="H406" s="22">
        <f t="shared" si="63"/>
        <v>6</v>
      </c>
      <c r="I406" s="22">
        <f t="shared" si="63"/>
        <v>7</v>
      </c>
      <c r="J406" s="22">
        <f t="shared" si="63"/>
        <v>8</v>
      </c>
      <c r="K406" s="22">
        <f t="shared" si="63"/>
        <v>9</v>
      </c>
      <c r="L406" s="22">
        <f t="shared" si="63"/>
        <v>10</v>
      </c>
      <c r="M406" s="22">
        <f t="shared" si="63"/>
        <v>11</v>
      </c>
      <c r="N406" s="22">
        <f t="shared" si="63"/>
        <v>12</v>
      </c>
      <c r="O406" s="22">
        <f t="shared" si="63"/>
        <v>13</v>
      </c>
      <c r="P406" s="22">
        <f t="shared" si="63"/>
        <v>14</v>
      </c>
      <c r="Q406" s="22">
        <f t="shared" si="63"/>
        <v>15</v>
      </c>
      <c r="R406" s="22">
        <f t="shared" si="63"/>
        <v>16</v>
      </c>
      <c r="S406" s="22">
        <f t="shared" si="63"/>
        <v>17</v>
      </c>
      <c r="T406" s="22">
        <f t="shared" si="63"/>
        <v>18</v>
      </c>
      <c r="U406" s="22">
        <f t="shared" si="63"/>
        <v>19</v>
      </c>
      <c r="V406" s="22">
        <f t="shared" si="63"/>
        <v>20</v>
      </c>
      <c r="W406" s="22">
        <f t="shared" si="63"/>
        <v>21</v>
      </c>
      <c r="X406" s="22">
        <f t="shared" si="63"/>
        <v>22</v>
      </c>
      <c r="Y406" s="22">
        <f t="shared" si="63"/>
        <v>23</v>
      </c>
      <c r="Z406" s="22">
        <f t="shared" si="63"/>
        <v>24</v>
      </c>
      <c r="AA406" s="22">
        <f t="shared" si="63"/>
        <v>25</v>
      </c>
      <c r="AB406" s="22">
        <f t="shared" si="63"/>
        <v>26</v>
      </c>
      <c r="AC406" s="22">
        <f t="shared" si="63"/>
        <v>27</v>
      </c>
      <c r="AD406" s="22">
        <f t="shared" si="63"/>
        <v>28</v>
      </c>
      <c r="AE406" s="22">
        <f t="shared" si="63"/>
        <v>29</v>
      </c>
      <c r="AF406" s="22">
        <f t="shared" si="63"/>
        <v>30</v>
      </c>
      <c r="AG406" s="22">
        <f t="shared" si="63"/>
        <v>0</v>
      </c>
    </row>
    <row r="407" spans="1:33" ht="18" x14ac:dyDescent="0.2">
      <c r="A407" s="25"/>
      <c r="B407" s="26"/>
      <c r="C407" s="22" t="str">
        <f>_xlfn.IFNA(IF(OR(C406="",C406=0),"",(VLOOKUP($B407,'น้ำยา-เครื่อง'!$A$14:$AF$23,C406+1,FALSE))),"")</f>
        <v/>
      </c>
      <c r="D407" s="22" t="str">
        <f>_xlfn.IFNA(IF(OR(D406="",D406=0),"",(VLOOKUP($B407,'น้ำยา-เครื่อง'!$A$14:$AF$23,D406+1,FALSE))),"")</f>
        <v/>
      </c>
      <c r="E407" s="22" t="str">
        <f>_xlfn.IFNA(IF(OR(E406="",E406=0),"",(VLOOKUP($B407,'น้ำยา-เครื่อง'!$A$14:$AF$23,E406+1,FALSE))),"")</f>
        <v/>
      </c>
      <c r="F407" s="22" t="str">
        <f>_xlfn.IFNA(IF(OR(F406="",F406=0),"",(VLOOKUP($B407,'น้ำยา-เครื่อง'!$A$14:$AF$23,F406+1,FALSE))),"")</f>
        <v/>
      </c>
      <c r="G407" s="22" t="str">
        <f>_xlfn.IFNA(IF(OR(G406="",G406=0),"",(VLOOKUP($B407,'น้ำยา-เครื่อง'!$A$14:$AF$23,G406+1,FALSE))),"")</f>
        <v/>
      </c>
      <c r="H407" s="22" t="str">
        <f>_xlfn.IFNA(IF(OR(H406="",H406=0),"",(VLOOKUP($B407,'น้ำยา-เครื่อง'!$A$14:$AF$23,H406+1,FALSE))),"")</f>
        <v/>
      </c>
      <c r="I407" s="22" t="str">
        <f>_xlfn.IFNA(IF(OR(I406="",I406=0),"",(VLOOKUP($B407,'น้ำยา-เครื่อง'!$A$14:$AF$23,I406+1,FALSE))),"")</f>
        <v/>
      </c>
      <c r="J407" s="22" t="str">
        <f>_xlfn.IFNA(IF(OR(J406="",J406=0),"",(VLOOKUP($B407,'น้ำยา-เครื่อง'!$A$14:$AF$23,J406+1,FALSE))),"")</f>
        <v/>
      </c>
      <c r="K407" s="22" t="str">
        <f>_xlfn.IFNA(IF(OR(K406="",K406=0),"",(VLOOKUP($B407,'น้ำยา-เครื่อง'!$A$14:$AF$23,K406+1,FALSE))),"")</f>
        <v/>
      </c>
      <c r="L407" s="22" t="str">
        <f>_xlfn.IFNA(IF(OR(L406="",L406=0),"",(VLOOKUP($B407,'น้ำยา-เครื่อง'!$A$14:$AF$23,L406+1,FALSE))),"")</f>
        <v/>
      </c>
      <c r="M407" s="22" t="str">
        <f>_xlfn.IFNA(IF(OR(M406="",M406=0),"",(VLOOKUP($B407,'น้ำยา-เครื่อง'!$A$14:$AF$23,M406+1,FALSE))),"")</f>
        <v/>
      </c>
      <c r="N407" s="22" t="str">
        <f>_xlfn.IFNA(IF(OR(N406="",N406=0),"",(VLOOKUP($B407,'น้ำยา-เครื่อง'!$A$14:$AF$23,N406+1,FALSE))),"")</f>
        <v/>
      </c>
      <c r="O407" s="22" t="str">
        <f>_xlfn.IFNA(IF(OR(O406="",O406=0),"",(VLOOKUP($B407,'น้ำยา-เครื่อง'!$A$14:$AF$23,O406+1,FALSE))),"")</f>
        <v/>
      </c>
      <c r="P407" s="22" t="str">
        <f>_xlfn.IFNA(IF(OR(P406="",P406=0),"",(VLOOKUP($B407,'น้ำยา-เครื่อง'!$A$14:$AF$23,P406+1,FALSE))),"")</f>
        <v/>
      </c>
      <c r="Q407" s="22" t="str">
        <f>_xlfn.IFNA(IF(OR(Q406="",Q406=0),"",(VLOOKUP($B407,'น้ำยา-เครื่อง'!$A$14:$AF$23,Q406+1,FALSE))),"")</f>
        <v/>
      </c>
      <c r="R407" s="22" t="str">
        <f>_xlfn.IFNA(IF(OR(R406="",R406=0),"",(VLOOKUP($B407,'น้ำยา-เครื่อง'!$A$14:$AF$23,R406+1,FALSE))),"")</f>
        <v/>
      </c>
      <c r="S407" s="22" t="str">
        <f>_xlfn.IFNA(IF(OR(S406="",S406=0),"",(VLOOKUP($B407,'น้ำยา-เครื่อง'!$A$14:$AF$23,S406+1,FALSE))),"")</f>
        <v/>
      </c>
      <c r="T407" s="22" t="str">
        <f>_xlfn.IFNA(IF(OR(T406="",T406=0),"",(VLOOKUP($B407,'น้ำยา-เครื่อง'!$A$14:$AF$23,T406+1,FALSE))),"")</f>
        <v/>
      </c>
      <c r="U407" s="22" t="str">
        <f>_xlfn.IFNA(IF(OR(U406="",U406=0),"",(VLOOKUP($B407,'น้ำยา-เครื่อง'!$A$14:$AF$23,U406+1,FALSE))),"")</f>
        <v/>
      </c>
      <c r="V407" s="22" t="str">
        <f>_xlfn.IFNA(IF(OR(V406="",V406=0),"",(VLOOKUP($B407,'น้ำยา-เครื่อง'!$A$14:$AF$23,V406+1,FALSE))),"")</f>
        <v/>
      </c>
      <c r="W407" s="22" t="str">
        <f>_xlfn.IFNA(IF(OR(W406="",W406=0),"",(VLOOKUP($B407,'น้ำยา-เครื่อง'!$A$14:$AF$23,W406+1,FALSE))),"")</f>
        <v/>
      </c>
      <c r="X407" s="22" t="str">
        <f>_xlfn.IFNA(IF(OR(X406="",X406=0),"",(VLOOKUP($B407,'น้ำยา-เครื่อง'!$A$14:$AF$23,X406+1,FALSE))),"")</f>
        <v/>
      </c>
      <c r="Y407" s="22" t="str">
        <f>_xlfn.IFNA(IF(OR(Y406="",Y406=0),"",(VLOOKUP($B407,'น้ำยา-เครื่อง'!$A$14:$AF$23,Y406+1,FALSE))),"")</f>
        <v/>
      </c>
      <c r="Z407" s="22" t="str">
        <f>_xlfn.IFNA(IF(OR(Z406="",Z406=0),"",(VLOOKUP($B407,'น้ำยา-เครื่อง'!$A$14:$AF$23,Z406+1,FALSE))),"")</f>
        <v/>
      </c>
      <c r="AA407" s="22" t="str">
        <f>_xlfn.IFNA(IF(OR(AA406="",AA406=0),"",(VLOOKUP($B407,'น้ำยา-เครื่อง'!$A$14:$AF$23,AA406+1,FALSE))),"")</f>
        <v/>
      </c>
      <c r="AB407" s="22" t="str">
        <f>_xlfn.IFNA(IF(OR(AB406="",AB406=0),"",(VLOOKUP($B407,'น้ำยา-เครื่อง'!$A$14:$AF$23,AB406+1,FALSE))),"")</f>
        <v/>
      </c>
      <c r="AC407" s="22" t="str">
        <f>_xlfn.IFNA(IF(OR(AC406="",AC406=0),"",(VLOOKUP($B407,'น้ำยา-เครื่อง'!$A$14:$AF$23,AC406+1,FALSE))),"")</f>
        <v/>
      </c>
      <c r="AD407" s="22" t="str">
        <f>_xlfn.IFNA(IF(OR(AD406="",AD406=0),"",(VLOOKUP($B407,'น้ำยา-เครื่อง'!$A$14:$AF$23,AD406+1,FALSE))),"")</f>
        <v/>
      </c>
      <c r="AE407" s="22" t="str">
        <f>_xlfn.IFNA(IF(OR(AE406="",AE406=0),"",(VLOOKUP($B407,'น้ำยา-เครื่อง'!$A$14:$AF$23,AE406+1,FALSE))),"")</f>
        <v/>
      </c>
      <c r="AF407" s="22" t="str">
        <f>_xlfn.IFNA(IF(OR(AF406="",AF406=0),"",(VLOOKUP($B407,'น้ำยา-เครื่อง'!$A$14:$AF$23,AF406+1,FALSE))),"")</f>
        <v/>
      </c>
      <c r="AG407" s="22" t="str">
        <f>_xlfn.IFNA(IF(OR(AG406="",AG406=0),"",(VLOOKUP($B407,'น้ำยา-เครื่อง'!$A$14:$AF$23,AG406+1,FALSE))),"")</f>
        <v/>
      </c>
    </row>
    <row r="408" spans="1:33" ht="18.75" customHeight="1" x14ac:dyDescent="0.2">
      <c r="A408" s="70" t="s">
        <v>296</v>
      </c>
      <c r="B408" s="27" t="s">
        <v>5</v>
      </c>
      <c r="C408" s="28"/>
      <c r="D408" s="28"/>
      <c r="E408" s="28"/>
      <c r="F408" s="28"/>
      <c r="G408" s="29"/>
      <c r="H408" s="28"/>
      <c r="I408" s="28"/>
      <c r="J408" s="28"/>
      <c r="K408" s="29"/>
      <c r="L408" s="28"/>
      <c r="M408" s="28"/>
      <c r="N408" s="28"/>
      <c r="O408" s="28"/>
      <c r="P408" s="29"/>
      <c r="Q408" s="28"/>
      <c r="R408" s="28"/>
      <c r="S408" s="28"/>
      <c r="T408" s="29"/>
      <c r="U408" s="28"/>
      <c r="V408" s="28"/>
      <c r="W408" s="28"/>
      <c r="X408" s="28"/>
      <c r="Y408" s="29"/>
      <c r="Z408" s="28"/>
      <c r="AA408" s="28"/>
      <c r="AB408" s="22"/>
      <c r="AC408" s="29"/>
      <c r="AD408" s="28"/>
      <c r="AE408" s="28"/>
      <c r="AF408" s="22"/>
      <c r="AG408" s="29"/>
    </row>
    <row r="409" spans="1:33" ht="18" x14ac:dyDescent="0.2">
      <c r="A409" s="70"/>
      <c r="B409" s="27" t="s">
        <v>6</v>
      </c>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row>
    <row r="410" spans="1:33" ht="18" x14ac:dyDescent="0.2">
      <c r="A410" s="70"/>
      <c r="B410" s="27"/>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row>
    <row r="411" spans="1:33" ht="18.75" customHeight="1" x14ac:dyDescent="0.2">
      <c r="A411" s="70" t="s">
        <v>295</v>
      </c>
      <c r="B411" s="27" t="s">
        <v>5</v>
      </c>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2"/>
      <c r="AC411" s="28"/>
      <c r="AD411" s="28"/>
      <c r="AE411" s="28"/>
      <c r="AF411" s="22"/>
      <c r="AG411" s="28"/>
    </row>
    <row r="412" spans="1:33" ht="18" x14ac:dyDescent="0.2">
      <c r="A412" s="70"/>
      <c r="B412" s="27" t="s">
        <v>6</v>
      </c>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row>
    <row r="413" spans="1:33" ht="18" x14ac:dyDescent="0.2">
      <c r="A413" s="70"/>
      <c r="B413" s="27"/>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row>
    <row r="414" spans="1:33" ht="18" customHeight="1" x14ac:dyDescent="0.2">
      <c r="A414" s="70" t="s">
        <v>225</v>
      </c>
      <c r="B414" s="27" t="s">
        <v>5</v>
      </c>
      <c r="C414" s="28"/>
      <c r="D414" s="28" t="s">
        <v>60</v>
      </c>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2"/>
      <c r="AC414" s="28"/>
      <c r="AD414" s="28"/>
      <c r="AE414" s="28"/>
      <c r="AF414" s="22"/>
      <c r="AG414" s="28"/>
    </row>
    <row r="415" spans="1:33" ht="18" x14ac:dyDescent="0.2">
      <c r="A415" s="70"/>
      <c r="B415" s="27" t="s">
        <v>6</v>
      </c>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row>
    <row r="416" spans="1:33" ht="18" x14ac:dyDescent="0.2">
      <c r="A416" s="70"/>
      <c r="B416" s="27"/>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row>
    <row r="417" spans="1:33" ht="18" x14ac:dyDescent="0.4">
      <c r="A417" s="4" t="s">
        <v>219</v>
      </c>
      <c r="B417" s="4"/>
      <c r="C417" s="4"/>
      <c r="D417" s="4"/>
      <c r="E417" s="4"/>
      <c r="F417" s="4"/>
      <c r="G417" s="4"/>
      <c r="H417" s="4"/>
      <c r="I417" s="4"/>
      <c r="J417" s="4"/>
      <c r="K417" s="4"/>
      <c r="L417" s="4"/>
      <c r="M417" s="4"/>
      <c r="N417" s="4"/>
      <c r="O417" s="4"/>
      <c r="P417" s="4"/>
      <c r="Q417" s="4"/>
      <c r="R417" s="4"/>
      <c r="S417" s="4"/>
      <c r="T417" s="4"/>
      <c r="U417" s="10"/>
      <c r="V417" s="10"/>
      <c r="W417" s="71" t="s">
        <v>186</v>
      </c>
      <c r="X417" s="71"/>
      <c r="Y417" s="71"/>
      <c r="Z417" s="71"/>
      <c r="AA417" s="71"/>
      <c r="AB417" s="71"/>
      <c r="AC417" s="71"/>
      <c r="AD417" s="10"/>
      <c r="AE417" s="10"/>
      <c r="AF417" s="10"/>
      <c r="AG417" s="10"/>
    </row>
    <row r="418" spans="1:33" ht="18" x14ac:dyDescent="0.4">
      <c r="A418" s="7"/>
      <c r="B418" s="7"/>
      <c r="C418" s="7"/>
      <c r="D418" s="7"/>
      <c r="E418" s="7"/>
      <c r="F418" s="7"/>
      <c r="G418" s="7"/>
      <c r="H418" s="7"/>
      <c r="I418" s="7"/>
      <c r="J418" s="7"/>
      <c r="K418" s="7"/>
      <c r="L418" s="7"/>
      <c r="M418" s="7"/>
      <c r="N418" s="7"/>
      <c r="O418" s="7"/>
      <c r="P418" s="7"/>
      <c r="Q418" s="7"/>
      <c r="R418" s="7"/>
      <c r="S418" s="7"/>
      <c r="T418" s="7"/>
      <c r="U418" s="38"/>
      <c r="V418" s="38"/>
      <c r="W418" s="7"/>
      <c r="X418" s="7"/>
      <c r="Y418" s="7"/>
      <c r="Z418" s="7"/>
      <c r="AA418" s="7"/>
      <c r="AB418" s="7"/>
      <c r="AC418" s="7"/>
      <c r="AD418" s="7"/>
      <c r="AE418" s="7"/>
      <c r="AF418" s="7"/>
      <c r="AG418" s="7"/>
    </row>
    <row r="419" spans="1:33" ht="18" x14ac:dyDescent="0.4">
      <c r="A419" s="9"/>
      <c r="B419" s="9"/>
      <c r="C419" s="9"/>
      <c r="D419" s="9"/>
      <c r="E419" s="9"/>
      <c r="F419" s="9"/>
      <c r="G419" s="9"/>
      <c r="H419" s="9"/>
      <c r="I419" s="9"/>
      <c r="J419" s="9"/>
      <c r="K419" s="9"/>
      <c r="L419" s="9"/>
      <c r="M419" s="9"/>
      <c r="N419" s="9"/>
      <c r="O419" s="9"/>
      <c r="P419" s="72" t="s">
        <v>28</v>
      </c>
      <c r="Q419" s="72"/>
      <c r="R419" s="73" t="str">
        <f>IF(R359=0,"",R359)</f>
        <v>พีรวัส</v>
      </c>
      <c r="S419" s="73"/>
      <c r="T419" s="73"/>
      <c r="U419" s="97" t="s">
        <v>221</v>
      </c>
      <c r="V419" s="97"/>
      <c r="W419" s="73" t="str">
        <f>IF(W359=0,"",W359)</f>
        <v>วรพงศ์</v>
      </c>
      <c r="X419" s="73"/>
      <c r="Y419" s="73"/>
      <c r="Z419" s="8" t="s">
        <v>29</v>
      </c>
      <c r="AA419" s="74">
        <f>IF(AA299=0,"",AA299)</f>
        <v>46204</v>
      </c>
      <c r="AB419" s="73"/>
      <c r="AC419" s="73"/>
      <c r="AD419" s="9"/>
      <c r="AE419" s="73"/>
      <c r="AF419" s="73"/>
      <c r="AG419" s="73"/>
    </row>
    <row r="421" spans="1:33" ht="23.25" hidden="1" x14ac:dyDescent="0.5">
      <c r="A421" s="108" t="s">
        <v>210</v>
      </c>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row>
    <row r="422" spans="1:33" ht="21" hidden="1" x14ac:dyDescent="0.45">
      <c r="A422" s="42" t="s">
        <v>22</v>
      </c>
      <c r="B422" s="109" t="s">
        <v>267</v>
      </c>
      <c r="C422" s="109"/>
      <c r="D422" s="109"/>
      <c r="E422" s="109"/>
      <c r="F422" s="109"/>
      <c r="G422" s="109"/>
      <c r="H422" s="42" t="s">
        <v>24</v>
      </c>
      <c r="I422" s="110" t="s">
        <v>12</v>
      </c>
      <c r="J422" s="110"/>
      <c r="K422" s="110"/>
      <c r="L422" s="110"/>
      <c r="M422" s="111" t="s">
        <v>25</v>
      </c>
      <c r="N422" s="111"/>
      <c r="O422" s="109" t="s">
        <v>103</v>
      </c>
      <c r="P422" s="109"/>
      <c r="Q422" s="109"/>
      <c r="R422" s="109"/>
      <c r="S422" s="109"/>
      <c r="T422" s="42" t="s">
        <v>20</v>
      </c>
      <c r="U422" s="112">
        <f>$U$2</f>
        <v>2569</v>
      </c>
      <c r="V422" s="112"/>
      <c r="W422" s="111" t="s">
        <v>35</v>
      </c>
      <c r="X422" s="111"/>
      <c r="Y422" s="111"/>
      <c r="Z422" s="43" t="s">
        <v>204</v>
      </c>
      <c r="AA422" s="44"/>
      <c r="AB422" s="44"/>
      <c r="AC422" s="44"/>
      <c r="AD422" s="45"/>
      <c r="AE422" s="45"/>
      <c r="AF422" s="45"/>
      <c r="AG422" s="45"/>
    </row>
    <row r="423" spans="1:33" ht="18.75" hidden="1" customHeight="1" x14ac:dyDescent="0.2">
      <c r="A423" s="46" t="s">
        <v>0</v>
      </c>
      <c r="B423" s="47" t="s">
        <v>2</v>
      </c>
      <c r="C423" s="103" t="str">
        <f>C333</f>
        <v>เดือน กรกฏาคม</v>
      </c>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c r="AA423" s="103"/>
      <c r="AB423" s="103"/>
      <c r="AC423" s="103"/>
      <c r="AD423" s="103"/>
      <c r="AE423" s="103"/>
      <c r="AF423" s="103"/>
      <c r="AG423" s="103"/>
    </row>
    <row r="424" spans="1:33" ht="18" hidden="1" x14ac:dyDescent="0.2">
      <c r="A424" s="48" t="s">
        <v>1</v>
      </c>
      <c r="B424" s="49" t="s">
        <v>3</v>
      </c>
      <c r="C424" s="50">
        <f>C334</f>
        <v>1</v>
      </c>
      <c r="D424" s="50">
        <f t="shared" ref="D424:AG424" si="64">D334</f>
        <v>2</v>
      </c>
      <c r="E424" s="50">
        <f t="shared" si="64"/>
        <v>3</v>
      </c>
      <c r="F424" s="50">
        <f t="shared" si="64"/>
        <v>4</v>
      </c>
      <c r="G424" s="50">
        <f t="shared" si="64"/>
        <v>5</v>
      </c>
      <c r="H424" s="50">
        <f t="shared" si="64"/>
        <v>6</v>
      </c>
      <c r="I424" s="50">
        <f t="shared" si="64"/>
        <v>7</v>
      </c>
      <c r="J424" s="50">
        <f t="shared" si="64"/>
        <v>8</v>
      </c>
      <c r="K424" s="50">
        <f t="shared" si="64"/>
        <v>9</v>
      </c>
      <c r="L424" s="50">
        <f t="shared" si="64"/>
        <v>10</v>
      </c>
      <c r="M424" s="50">
        <f t="shared" si="64"/>
        <v>11</v>
      </c>
      <c r="N424" s="50">
        <f t="shared" si="64"/>
        <v>12</v>
      </c>
      <c r="O424" s="50">
        <f t="shared" si="64"/>
        <v>13</v>
      </c>
      <c r="P424" s="50">
        <f t="shared" si="64"/>
        <v>14</v>
      </c>
      <c r="Q424" s="50">
        <f t="shared" si="64"/>
        <v>15</v>
      </c>
      <c r="R424" s="50">
        <f t="shared" si="64"/>
        <v>16</v>
      </c>
      <c r="S424" s="50">
        <f t="shared" si="64"/>
        <v>17</v>
      </c>
      <c r="T424" s="50">
        <f t="shared" si="64"/>
        <v>18</v>
      </c>
      <c r="U424" s="50">
        <f t="shared" si="64"/>
        <v>19</v>
      </c>
      <c r="V424" s="50">
        <f t="shared" si="64"/>
        <v>20</v>
      </c>
      <c r="W424" s="50">
        <f t="shared" si="64"/>
        <v>21</v>
      </c>
      <c r="X424" s="50">
        <f t="shared" si="64"/>
        <v>22</v>
      </c>
      <c r="Y424" s="50">
        <f t="shared" si="64"/>
        <v>23</v>
      </c>
      <c r="Z424" s="50">
        <f t="shared" si="64"/>
        <v>24</v>
      </c>
      <c r="AA424" s="50">
        <f t="shared" si="64"/>
        <v>25</v>
      </c>
      <c r="AB424" s="50">
        <f t="shared" si="64"/>
        <v>26</v>
      </c>
      <c r="AC424" s="50">
        <f t="shared" si="64"/>
        <v>27</v>
      </c>
      <c r="AD424" s="50">
        <f t="shared" si="64"/>
        <v>28</v>
      </c>
      <c r="AE424" s="50">
        <f t="shared" si="64"/>
        <v>29</v>
      </c>
      <c r="AF424" s="50">
        <f t="shared" si="64"/>
        <v>30</v>
      </c>
      <c r="AG424" s="50">
        <f t="shared" si="64"/>
        <v>31</v>
      </c>
    </row>
    <row r="425" spans="1:33" ht="18" hidden="1" x14ac:dyDescent="0.2">
      <c r="A425" s="51"/>
      <c r="B425" s="52"/>
      <c r="C425" s="50" t="str">
        <f>_xlfn.IFNA(IF(OR(C424="",C424=0),"",(VLOOKUP(B425,'น้ำยา-เครื่อง'!$A:$AF,C424+1,FALSE))),"")</f>
        <v/>
      </c>
      <c r="D425" s="50" t="str">
        <f>_xlfn.IFNA(IF(OR(D424="",D424=0),"",(VLOOKUP(B425,'น้ำยา-เครื่อง'!$A:$AF,D424+1,FALSE))),"")</f>
        <v/>
      </c>
      <c r="E425" s="50" t="str">
        <f>_xlfn.IFNA(IF(OR(E424="",E424=0),"",(VLOOKUP(B425,'น้ำยา-เครื่อง'!$A:$AF,E424+1,FALSE))),"")</f>
        <v/>
      </c>
      <c r="F425" s="50" t="str">
        <f>_xlfn.IFNA(IF(OR(F424="",F424=0),"",(VLOOKUP(B425,'น้ำยา-เครื่อง'!$A:$AF,F424+1,FALSE))),"")</f>
        <v/>
      </c>
      <c r="G425" s="50" t="str">
        <f>_xlfn.IFNA(IF(OR(G424="",G424=0),"",(VLOOKUP(B425,'น้ำยา-เครื่อง'!$A:$AF,G424+1,FALSE))),"")</f>
        <v/>
      </c>
      <c r="H425" s="50" t="str">
        <f>_xlfn.IFNA(IF(OR(H424="",H424=0),"",(VLOOKUP(B425,'น้ำยา-เครื่อง'!$A:$AF,H424+1,FALSE))),"")</f>
        <v/>
      </c>
      <c r="I425" s="50" t="str">
        <f>_xlfn.IFNA(IF(OR(I424="",I424=0),"",(VLOOKUP(B425,'น้ำยา-เครื่อง'!$A:$AF,I424+1,FALSE))),"")</f>
        <v/>
      </c>
      <c r="J425" s="50" t="str">
        <f>_xlfn.IFNA(IF(OR(J424="",J424=0),"",(VLOOKUP(B425,'น้ำยา-เครื่อง'!$A:$AF,J424+1,FALSE))),"")</f>
        <v/>
      </c>
      <c r="K425" s="50" t="str">
        <f>_xlfn.IFNA(IF(OR(K424="",K424=0),"",(VLOOKUP(B425,'น้ำยา-เครื่อง'!$A:$AF,K424+1,FALSE))),"")</f>
        <v/>
      </c>
      <c r="L425" s="50" t="str">
        <f>_xlfn.IFNA(IF(OR(L424="",L424=0),"",(VLOOKUP(B425,'น้ำยา-เครื่อง'!$A:$AF,L424+1,FALSE))),"")</f>
        <v/>
      </c>
      <c r="M425" s="50" t="str">
        <f>_xlfn.IFNA(IF(OR(M424="",M424=0),"",(VLOOKUP(B425,'น้ำยา-เครื่อง'!$A:$AF,M424+1,FALSE))),"")</f>
        <v/>
      </c>
      <c r="N425" s="50" t="str">
        <f>_xlfn.IFNA(IF(OR(N424="",N424=0),"",(VLOOKUP(B425,'น้ำยา-เครื่อง'!$A:$AF,N424+1,FALSE))),"")</f>
        <v/>
      </c>
      <c r="O425" s="50" t="str">
        <f>_xlfn.IFNA(IF(OR(O424="",O424=0),"",(VLOOKUP(B425,'น้ำยา-เครื่อง'!$A:$AF,O424+1,FALSE))),"")</f>
        <v/>
      </c>
      <c r="P425" s="50" t="str">
        <f>_xlfn.IFNA(IF(OR(P424="",P424=0),"",(VLOOKUP(B425,'น้ำยา-เครื่อง'!$A:$AF,P424+1,FALSE))),"")</f>
        <v/>
      </c>
      <c r="Q425" s="50" t="str">
        <f>_xlfn.IFNA(IF(OR(Q424="",Q424=0),"",(VLOOKUP(B425,'น้ำยา-เครื่อง'!$A:$AF,Q424+1,FALSE))),"")</f>
        <v/>
      </c>
      <c r="R425" s="50" t="str">
        <f>_xlfn.IFNA(IF(OR(R424="",R424=0),"",(VLOOKUP(B425,'น้ำยา-เครื่อง'!$A:$AF,R424+1,FALSE))),"")</f>
        <v/>
      </c>
      <c r="S425" s="50" t="str">
        <f>_xlfn.IFNA(IF(OR(S424="",S424=0),"",(VLOOKUP(B425,'น้ำยา-เครื่อง'!$A:$AF,S424+1,FALSE))),"")</f>
        <v/>
      </c>
      <c r="T425" s="50" t="str">
        <f>_xlfn.IFNA(IF(OR(T424="",T424=0),"",(VLOOKUP(B425,'น้ำยา-เครื่อง'!$A:$AF,T424+1,FALSE))),"")</f>
        <v/>
      </c>
      <c r="U425" s="50" t="str">
        <f>_xlfn.IFNA(IF(OR(U424="",U424=0),"",(VLOOKUP(B425,'น้ำยา-เครื่อง'!$A:$AF,U424+1,FALSE))),"")</f>
        <v/>
      </c>
      <c r="V425" s="50" t="str">
        <f>_xlfn.IFNA(IF(OR(V424="",V424=0),"",(VLOOKUP(B425,'น้ำยา-เครื่อง'!$A:$AF,V424+1,FALSE))),"")</f>
        <v/>
      </c>
      <c r="W425" s="50" t="str">
        <f>_xlfn.IFNA(IF(OR(W424="",W424=0),"",(VLOOKUP(B425,'น้ำยา-เครื่อง'!$A:$AF,W424+1,FALSE))),"")</f>
        <v/>
      </c>
      <c r="X425" s="50" t="str">
        <f>_xlfn.IFNA(IF(OR(X424="",X424=0),"",(VLOOKUP(B425,'น้ำยา-เครื่อง'!$A:$AF,X424+1,FALSE))),"")</f>
        <v/>
      </c>
      <c r="Y425" s="50" t="str">
        <f>_xlfn.IFNA(IF(OR(Y424="",Y424=0),"",(VLOOKUP(B425,'น้ำยา-เครื่อง'!$A:$AF,Y424+1,FALSE))),"")</f>
        <v/>
      </c>
      <c r="Z425" s="50" t="str">
        <f>_xlfn.IFNA(IF(OR(Z424="",Z424=0),"",(VLOOKUP(B425,'น้ำยา-เครื่อง'!$A:$AF,Z424+1,FALSE))),"")</f>
        <v/>
      </c>
      <c r="AA425" s="50" t="str">
        <f>_xlfn.IFNA(IF(OR(AA424="",AA424=0),"",(VLOOKUP(B425,'น้ำยา-เครื่อง'!$A:$AF,AA424+1,FALSE))),"")</f>
        <v/>
      </c>
      <c r="AB425" s="50" t="str">
        <f>_xlfn.IFNA(IF(OR(AB424="",AB424=0),"",(VLOOKUP(B425,'น้ำยา-เครื่อง'!$A:$AF,AB424+1,FALSE))),"")</f>
        <v/>
      </c>
      <c r="AC425" s="50" t="str">
        <f>_xlfn.IFNA(IF(OR(AC424="",AC424=0),"",(VLOOKUP(B425,'น้ำยา-เครื่อง'!$A:$AF,AC424+1,FALSE))),"")</f>
        <v/>
      </c>
      <c r="AD425" s="50" t="str">
        <f>_xlfn.IFNA(IF(OR(AD424="",AD424=0),"",(VLOOKUP(B425,'น้ำยา-เครื่อง'!$A:$AF,AD424+1,FALSE))),"")</f>
        <v/>
      </c>
      <c r="AE425" s="50" t="str">
        <f>_xlfn.IFNA(IF(OR(AE424="",AE424=0),"",(VLOOKUP(B425,'น้ำยา-เครื่อง'!$A:$AF,AE424+1,FALSE))),"")</f>
        <v/>
      </c>
      <c r="AF425" s="50" t="str">
        <f>_xlfn.IFNA(IF(OR(AF424="",AF424=0),"",(VLOOKUP(B425,'น้ำยา-เครื่อง'!$A:$AF,AF424+1,FALSE))),"")</f>
        <v/>
      </c>
      <c r="AG425" s="50" t="str">
        <f>_xlfn.IFNA(IF(OR(AG424="",AG424=0),"",(VLOOKUP(B425,'น้ำยา-เครื่อง'!$A:$AF,AG424+1,FALSE))),"")</f>
        <v/>
      </c>
    </row>
    <row r="426" spans="1:33" ht="18.75" hidden="1" customHeight="1" x14ac:dyDescent="0.2">
      <c r="A426" s="102" t="s">
        <v>104</v>
      </c>
      <c r="B426" s="53" t="s">
        <v>5</v>
      </c>
      <c r="C426" s="50" t="str">
        <f t="shared" ref="C426:AG426" si="65">IF(C66="","",C66)</f>
        <v>O</v>
      </c>
      <c r="D426" s="50" t="str">
        <f t="shared" si="65"/>
        <v/>
      </c>
      <c r="E426" s="50" t="str">
        <f t="shared" si="65"/>
        <v/>
      </c>
      <c r="F426" s="50" t="str">
        <f t="shared" si="65"/>
        <v/>
      </c>
      <c r="G426" s="50" t="str">
        <f t="shared" si="65"/>
        <v/>
      </c>
      <c r="H426" s="50" t="str">
        <f t="shared" si="65"/>
        <v/>
      </c>
      <c r="I426" s="50" t="str">
        <f t="shared" si="65"/>
        <v>O</v>
      </c>
      <c r="J426" s="50" t="str">
        <f t="shared" si="65"/>
        <v>O</v>
      </c>
      <c r="K426" s="50" t="str">
        <f t="shared" si="65"/>
        <v>O</v>
      </c>
      <c r="L426" s="50" t="str">
        <f t="shared" si="65"/>
        <v/>
      </c>
      <c r="M426" s="50" t="str">
        <f t="shared" si="65"/>
        <v/>
      </c>
      <c r="N426" s="50" t="str">
        <f t="shared" si="65"/>
        <v/>
      </c>
      <c r="O426" s="50" t="str">
        <f t="shared" si="65"/>
        <v/>
      </c>
      <c r="P426" s="50" t="str">
        <f t="shared" si="65"/>
        <v>O</v>
      </c>
      <c r="Q426" s="50" t="str">
        <f t="shared" si="65"/>
        <v>O</v>
      </c>
      <c r="R426" s="50" t="str">
        <f t="shared" si="65"/>
        <v>O</v>
      </c>
      <c r="S426" s="50" t="str">
        <f t="shared" si="65"/>
        <v/>
      </c>
      <c r="T426" s="50" t="str">
        <f t="shared" si="65"/>
        <v/>
      </c>
      <c r="U426" s="50" t="str">
        <f t="shared" si="65"/>
        <v/>
      </c>
      <c r="V426" s="50" t="str">
        <f t="shared" si="65"/>
        <v/>
      </c>
      <c r="W426" s="50" t="str">
        <f t="shared" si="65"/>
        <v>O</v>
      </c>
      <c r="X426" s="50" t="str">
        <f t="shared" si="65"/>
        <v>O</v>
      </c>
      <c r="Y426" s="50" t="str">
        <f t="shared" si="65"/>
        <v>O</v>
      </c>
      <c r="Z426" s="50" t="str">
        <f t="shared" si="65"/>
        <v/>
      </c>
      <c r="AA426" s="50" t="str">
        <f t="shared" si="65"/>
        <v/>
      </c>
      <c r="AB426" s="50" t="str">
        <f t="shared" si="65"/>
        <v/>
      </c>
      <c r="AC426" s="50" t="str">
        <f t="shared" si="65"/>
        <v/>
      </c>
      <c r="AD426" s="50" t="str">
        <f t="shared" si="65"/>
        <v/>
      </c>
      <c r="AE426" s="50" t="str">
        <f t="shared" si="65"/>
        <v/>
      </c>
      <c r="AF426" s="50" t="str">
        <f t="shared" si="65"/>
        <v/>
      </c>
      <c r="AG426" s="50" t="str">
        <f t="shared" si="65"/>
        <v/>
      </c>
    </row>
    <row r="427" spans="1:33" ht="18" hidden="1" x14ac:dyDescent="0.2">
      <c r="A427" s="102"/>
      <c r="B427" s="53" t="s">
        <v>6</v>
      </c>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row>
    <row r="428" spans="1:33" ht="18" hidden="1" x14ac:dyDescent="0.2">
      <c r="A428" s="102"/>
      <c r="B428" s="53"/>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row>
    <row r="429" spans="1:33" ht="18.75" hidden="1" customHeight="1" x14ac:dyDescent="0.2">
      <c r="A429" s="102"/>
      <c r="B429" s="53" t="s">
        <v>5</v>
      </c>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row>
    <row r="430" spans="1:33" ht="18" hidden="1" x14ac:dyDescent="0.2">
      <c r="A430" s="102"/>
      <c r="B430" s="53" t="s">
        <v>6</v>
      </c>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row>
    <row r="431" spans="1:33" ht="18" hidden="1" x14ac:dyDescent="0.2">
      <c r="A431" s="102"/>
      <c r="B431" s="53"/>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row>
    <row r="432" spans="1:33" ht="18" hidden="1" customHeight="1" x14ac:dyDescent="0.2">
      <c r="A432" s="102"/>
      <c r="B432" s="53" t="s">
        <v>5</v>
      </c>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row>
    <row r="433" spans="1:33" ht="18" hidden="1" x14ac:dyDescent="0.2">
      <c r="A433" s="102"/>
      <c r="B433" s="53" t="s">
        <v>6</v>
      </c>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row>
    <row r="434" spans="1:33" ht="18" hidden="1" x14ac:dyDescent="0.2">
      <c r="A434" s="102"/>
      <c r="B434" s="53"/>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row>
    <row r="435" spans="1:33" ht="18.75" hidden="1" customHeight="1" x14ac:dyDescent="0.2">
      <c r="A435" s="46" t="s">
        <v>0</v>
      </c>
      <c r="B435" s="47" t="s">
        <v>2</v>
      </c>
      <c r="C435" s="103" t="str">
        <f>C345</f>
        <v>เดือน สิงหาคม</v>
      </c>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c r="AA435" s="103"/>
      <c r="AB435" s="103"/>
      <c r="AC435" s="103"/>
      <c r="AD435" s="103"/>
      <c r="AE435" s="103"/>
      <c r="AF435" s="103"/>
      <c r="AG435" s="103"/>
    </row>
    <row r="436" spans="1:33" ht="18" hidden="1" x14ac:dyDescent="0.2">
      <c r="A436" s="48" t="s">
        <v>1</v>
      </c>
      <c r="B436" s="49" t="s">
        <v>3</v>
      </c>
      <c r="C436" s="50">
        <f>C346</f>
        <v>1</v>
      </c>
      <c r="D436" s="50">
        <f t="shared" ref="D436:AG436" si="66">D346</f>
        <v>2</v>
      </c>
      <c r="E436" s="50">
        <f t="shared" si="66"/>
        <v>3</v>
      </c>
      <c r="F436" s="50">
        <f t="shared" si="66"/>
        <v>4</v>
      </c>
      <c r="G436" s="50">
        <f t="shared" si="66"/>
        <v>5</v>
      </c>
      <c r="H436" s="50">
        <f t="shared" si="66"/>
        <v>6</v>
      </c>
      <c r="I436" s="50">
        <f t="shared" si="66"/>
        <v>7</v>
      </c>
      <c r="J436" s="50">
        <f t="shared" si="66"/>
        <v>8</v>
      </c>
      <c r="K436" s="50">
        <f t="shared" si="66"/>
        <v>9</v>
      </c>
      <c r="L436" s="50">
        <f t="shared" si="66"/>
        <v>10</v>
      </c>
      <c r="M436" s="50">
        <f t="shared" si="66"/>
        <v>11</v>
      </c>
      <c r="N436" s="50">
        <f t="shared" si="66"/>
        <v>12</v>
      </c>
      <c r="O436" s="50">
        <f t="shared" si="66"/>
        <v>13</v>
      </c>
      <c r="P436" s="50">
        <f t="shared" si="66"/>
        <v>14</v>
      </c>
      <c r="Q436" s="50">
        <f t="shared" si="66"/>
        <v>15</v>
      </c>
      <c r="R436" s="50">
        <f t="shared" si="66"/>
        <v>16</v>
      </c>
      <c r="S436" s="50">
        <f t="shared" si="66"/>
        <v>17</v>
      </c>
      <c r="T436" s="50">
        <f t="shared" si="66"/>
        <v>18</v>
      </c>
      <c r="U436" s="50">
        <f t="shared" si="66"/>
        <v>19</v>
      </c>
      <c r="V436" s="50">
        <f t="shared" si="66"/>
        <v>20</v>
      </c>
      <c r="W436" s="50">
        <f t="shared" si="66"/>
        <v>21</v>
      </c>
      <c r="X436" s="50">
        <f t="shared" si="66"/>
        <v>22</v>
      </c>
      <c r="Y436" s="50">
        <f t="shared" si="66"/>
        <v>23</v>
      </c>
      <c r="Z436" s="50">
        <f t="shared" si="66"/>
        <v>24</v>
      </c>
      <c r="AA436" s="50">
        <f t="shared" si="66"/>
        <v>25</v>
      </c>
      <c r="AB436" s="50">
        <f t="shared" si="66"/>
        <v>26</v>
      </c>
      <c r="AC436" s="50">
        <f t="shared" si="66"/>
        <v>27</v>
      </c>
      <c r="AD436" s="50">
        <f t="shared" si="66"/>
        <v>28</v>
      </c>
      <c r="AE436" s="50">
        <f t="shared" si="66"/>
        <v>29</v>
      </c>
      <c r="AF436" s="50">
        <f t="shared" si="66"/>
        <v>30</v>
      </c>
      <c r="AG436" s="50">
        <f t="shared" si="66"/>
        <v>0</v>
      </c>
    </row>
    <row r="437" spans="1:33" ht="18" hidden="1" x14ac:dyDescent="0.2">
      <c r="A437" s="51"/>
      <c r="B437" s="52"/>
      <c r="C437" s="50" t="str">
        <f>_xlfn.IFNA(IF(OR(C436="",C436=0),"",(VLOOKUP($B437,'น้ำยา-เครื่อง'!$A$14:$AF$23,C436+1,FALSE))),"")</f>
        <v/>
      </c>
      <c r="D437" s="50" t="str">
        <f>_xlfn.IFNA(IF(OR(D436="",D436=0),"",(VLOOKUP($B437,'น้ำยา-เครื่อง'!$A$14:$AF$23,D436+1,FALSE))),"")</f>
        <v/>
      </c>
      <c r="E437" s="50" t="str">
        <f>_xlfn.IFNA(IF(OR(E436="",E436=0),"",(VLOOKUP($B437,'น้ำยา-เครื่อง'!$A$14:$AF$23,E436+1,FALSE))),"")</f>
        <v/>
      </c>
      <c r="F437" s="50" t="str">
        <f>_xlfn.IFNA(IF(OR(F436="",F436=0),"",(VLOOKUP($B437,'น้ำยา-เครื่อง'!$A$14:$AF$23,F436+1,FALSE))),"")</f>
        <v/>
      </c>
      <c r="G437" s="50" t="str">
        <f>_xlfn.IFNA(IF(OR(G436="",G436=0),"",(VLOOKUP($B437,'น้ำยา-เครื่อง'!$A$14:$AF$23,G436+1,FALSE))),"")</f>
        <v/>
      </c>
      <c r="H437" s="50" t="str">
        <f>_xlfn.IFNA(IF(OR(H436="",H436=0),"",(VLOOKUP($B437,'น้ำยา-เครื่อง'!$A$14:$AF$23,H436+1,FALSE))),"")</f>
        <v/>
      </c>
      <c r="I437" s="50" t="str">
        <f>_xlfn.IFNA(IF(OR(I436="",I436=0),"",(VLOOKUP($B437,'น้ำยา-เครื่อง'!$A$14:$AF$23,I436+1,FALSE))),"")</f>
        <v/>
      </c>
      <c r="J437" s="50" t="str">
        <f>_xlfn.IFNA(IF(OR(J436="",J436=0),"",(VLOOKUP($B437,'น้ำยา-เครื่อง'!$A$14:$AF$23,J436+1,FALSE))),"")</f>
        <v/>
      </c>
      <c r="K437" s="50" t="str">
        <f>_xlfn.IFNA(IF(OR(K436="",K436=0),"",(VLOOKUP($B437,'น้ำยา-เครื่อง'!$A$14:$AF$23,K436+1,FALSE))),"")</f>
        <v/>
      </c>
      <c r="L437" s="50" t="str">
        <f>_xlfn.IFNA(IF(OR(L436="",L436=0),"",(VLOOKUP($B437,'น้ำยา-เครื่อง'!$A$14:$AF$23,L436+1,FALSE))),"")</f>
        <v/>
      </c>
      <c r="M437" s="50" t="str">
        <f>_xlfn.IFNA(IF(OR(M436="",M436=0),"",(VLOOKUP($B437,'น้ำยา-เครื่อง'!$A$14:$AF$23,M436+1,FALSE))),"")</f>
        <v/>
      </c>
      <c r="N437" s="50" t="str">
        <f>_xlfn.IFNA(IF(OR(N436="",N436=0),"",(VLOOKUP($B437,'น้ำยา-เครื่อง'!$A$14:$AF$23,N436+1,FALSE))),"")</f>
        <v/>
      </c>
      <c r="O437" s="50" t="str">
        <f>_xlfn.IFNA(IF(OR(O436="",O436=0),"",(VLOOKUP($B437,'น้ำยา-เครื่อง'!$A$14:$AF$23,O436+1,FALSE))),"")</f>
        <v/>
      </c>
      <c r="P437" s="50" t="str">
        <f>_xlfn.IFNA(IF(OR(P436="",P436=0),"",(VLOOKUP($B437,'น้ำยา-เครื่อง'!$A$14:$AF$23,P436+1,FALSE))),"")</f>
        <v/>
      </c>
      <c r="Q437" s="50" t="str">
        <f>_xlfn.IFNA(IF(OR(Q436="",Q436=0),"",(VLOOKUP($B437,'น้ำยา-เครื่อง'!$A$14:$AF$23,Q436+1,FALSE))),"")</f>
        <v/>
      </c>
      <c r="R437" s="50" t="str">
        <f>_xlfn.IFNA(IF(OR(R436="",R436=0),"",(VLOOKUP($B437,'น้ำยา-เครื่อง'!$A$14:$AF$23,R436+1,FALSE))),"")</f>
        <v/>
      </c>
      <c r="S437" s="50" t="str">
        <f>_xlfn.IFNA(IF(OR(S436="",S436=0),"",(VLOOKUP($B437,'น้ำยา-เครื่อง'!$A$14:$AF$23,S436+1,FALSE))),"")</f>
        <v/>
      </c>
      <c r="T437" s="50" t="str">
        <f>_xlfn.IFNA(IF(OR(T436="",T436=0),"",(VLOOKUP($B437,'น้ำยา-เครื่อง'!$A$14:$AF$23,T436+1,FALSE))),"")</f>
        <v/>
      </c>
      <c r="U437" s="50" t="str">
        <f>_xlfn.IFNA(IF(OR(U436="",U436=0),"",(VLOOKUP($B437,'น้ำยา-เครื่อง'!$A$14:$AF$23,U436+1,FALSE))),"")</f>
        <v/>
      </c>
      <c r="V437" s="50" t="str">
        <f>_xlfn.IFNA(IF(OR(V436="",V436=0),"",(VLOOKUP($B437,'น้ำยา-เครื่อง'!$A$14:$AF$23,V436+1,FALSE))),"")</f>
        <v/>
      </c>
      <c r="W437" s="50" t="str">
        <f>_xlfn.IFNA(IF(OR(W436="",W436=0),"",(VLOOKUP($B437,'น้ำยา-เครื่อง'!$A$14:$AF$23,W436+1,FALSE))),"")</f>
        <v/>
      </c>
      <c r="X437" s="50" t="str">
        <f>_xlfn.IFNA(IF(OR(X436="",X436=0),"",(VLOOKUP($B437,'น้ำยา-เครื่อง'!$A$14:$AF$23,X436+1,FALSE))),"")</f>
        <v/>
      </c>
      <c r="Y437" s="50" t="str">
        <f>_xlfn.IFNA(IF(OR(Y436="",Y436=0),"",(VLOOKUP($B437,'น้ำยา-เครื่อง'!$A$14:$AF$23,Y436+1,FALSE))),"")</f>
        <v/>
      </c>
      <c r="Z437" s="50" t="str">
        <f>_xlfn.IFNA(IF(OR(Z436="",Z436=0),"",(VLOOKUP($B437,'น้ำยา-เครื่อง'!$A$14:$AF$23,Z436+1,FALSE))),"")</f>
        <v/>
      </c>
      <c r="AA437" s="50" t="str">
        <f>_xlfn.IFNA(IF(OR(AA436="",AA436=0),"",(VLOOKUP($B437,'น้ำยา-เครื่อง'!$A$14:$AF$23,AA436+1,FALSE))),"")</f>
        <v/>
      </c>
      <c r="AB437" s="50" t="str">
        <f>_xlfn.IFNA(IF(OR(AB436="",AB436=0),"",(VLOOKUP($B437,'น้ำยา-เครื่อง'!$A$14:$AF$23,AB436+1,FALSE))),"")</f>
        <v/>
      </c>
      <c r="AC437" s="50" t="str">
        <f>_xlfn.IFNA(IF(OR(AC436="",AC436=0),"",(VLOOKUP($B437,'น้ำยา-เครื่อง'!$A$14:$AF$23,AC436+1,FALSE))),"")</f>
        <v/>
      </c>
      <c r="AD437" s="50" t="str">
        <f>_xlfn.IFNA(IF(OR(AD436="",AD436=0),"",(VLOOKUP($B437,'น้ำยา-เครื่อง'!$A$14:$AF$23,AD436+1,FALSE))),"")</f>
        <v/>
      </c>
      <c r="AE437" s="50" t="str">
        <f>_xlfn.IFNA(IF(OR(AE436="",AE436=0),"",(VLOOKUP($B437,'น้ำยา-เครื่อง'!$A$14:$AF$23,AE436+1,FALSE))),"")</f>
        <v/>
      </c>
      <c r="AF437" s="50" t="str">
        <f>_xlfn.IFNA(IF(OR(AF436="",AF436=0),"",(VLOOKUP($B437,'น้ำยา-เครื่อง'!$A$14:$AF$23,AF436+1,FALSE))),"")</f>
        <v/>
      </c>
      <c r="AG437" s="50" t="str">
        <f>_xlfn.IFNA(IF(OR(AG436="",AG436=0),"",(VLOOKUP($B437,'น้ำยา-เครื่อง'!$A$14:$AF$23,AG436+1,FALSE))),"")</f>
        <v/>
      </c>
    </row>
    <row r="438" spans="1:33" ht="18.75" hidden="1" customHeight="1" x14ac:dyDescent="0.2">
      <c r="A438" s="102" t="s">
        <v>104</v>
      </c>
      <c r="B438" s="53" t="s">
        <v>5</v>
      </c>
      <c r="C438" s="50" t="str">
        <f t="shared" ref="C438:AG438" si="67">IF(C78="","",C78)</f>
        <v/>
      </c>
      <c r="D438" s="50" t="str">
        <f t="shared" si="67"/>
        <v/>
      </c>
      <c r="E438" s="50" t="str">
        <f t="shared" si="67"/>
        <v/>
      </c>
      <c r="F438" s="50" t="str">
        <f t="shared" si="67"/>
        <v>O</v>
      </c>
      <c r="G438" s="50" t="str">
        <f t="shared" si="67"/>
        <v>O</v>
      </c>
      <c r="H438" s="50" t="str">
        <f t="shared" si="67"/>
        <v>O</v>
      </c>
      <c r="I438" s="50" t="str">
        <f t="shared" si="67"/>
        <v/>
      </c>
      <c r="J438" s="50" t="str">
        <f t="shared" si="67"/>
        <v/>
      </c>
      <c r="K438" s="50" t="str">
        <f t="shared" si="67"/>
        <v/>
      </c>
      <c r="L438" s="50" t="str">
        <f t="shared" si="67"/>
        <v/>
      </c>
      <c r="M438" s="50" t="str">
        <f t="shared" si="67"/>
        <v/>
      </c>
      <c r="N438" s="50" t="str">
        <f t="shared" si="67"/>
        <v/>
      </c>
      <c r="O438" s="50" t="str">
        <f t="shared" si="67"/>
        <v>O</v>
      </c>
      <c r="P438" s="50" t="str">
        <f t="shared" si="67"/>
        <v>O</v>
      </c>
      <c r="Q438" s="50" t="str">
        <f t="shared" si="67"/>
        <v/>
      </c>
      <c r="R438" s="50" t="str">
        <f t="shared" si="67"/>
        <v/>
      </c>
      <c r="S438" s="50" t="str">
        <f t="shared" si="67"/>
        <v/>
      </c>
      <c r="T438" s="50" t="str">
        <f t="shared" si="67"/>
        <v>O</v>
      </c>
      <c r="U438" s="50" t="str">
        <f t="shared" si="67"/>
        <v>O</v>
      </c>
      <c r="V438" s="50" t="str">
        <f t="shared" si="67"/>
        <v>O</v>
      </c>
      <c r="W438" s="50" t="str">
        <f t="shared" si="67"/>
        <v/>
      </c>
      <c r="X438" s="50" t="str">
        <f t="shared" si="67"/>
        <v/>
      </c>
      <c r="Y438" s="50" t="str">
        <f t="shared" si="67"/>
        <v/>
      </c>
      <c r="Z438" s="50" t="str">
        <f t="shared" si="67"/>
        <v/>
      </c>
      <c r="AA438" s="50" t="str">
        <f t="shared" si="67"/>
        <v>O</v>
      </c>
      <c r="AB438" s="50" t="str">
        <f t="shared" si="67"/>
        <v>O</v>
      </c>
      <c r="AC438" s="50" t="str">
        <f t="shared" si="67"/>
        <v/>
      </c>
      <c r="AD438" s="50" t="str">
        <f t="shared" si="67"/>
        <v/>
      </c>
      <c r="AE438" s="50" t="str">
        <f t="shared" si="67"/>
        <v/>
      </c>
      <c r="AF438" s="50" t="str">
        <f t="shared" si="67"/>
        <v/>
      </c>
      <c r="AG438" s="50" t="str">
        <f t="shared" si="67"/>
        <v/>
      </c>
    </row>
    <row r="439" spans="1:33" ht="18" hidden="1" x14ac:dyDescent="0.2">
      <c r="A439" s="102"/>
      <c r="B439" s="53" t="s">
        <v>6</v>
      </c>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row>
    <row r="440" spans="1:33" ht="18" hidden="1" x14ac:dyDescent="0.2">
      <c r="A440" s="102"/>
      <c r="B440" s="53"/>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row>
    <row r="441" spans="1:33" ht="18.75" hidden="1" customHeight="1" x14ac:dyDescent="0.2">
      <c r="A441" s="102"/>
      <c r="B441" s="53" t="s">
        <v>5</v>
      </c>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row>
    <row r="442" spans="1:33" ht="18" hidden="1" x14ac:dyDescent="0.2">
      <c r="A442" s="102"/>
      <c r="B442" s="53" t="s">
        <v>6</v>
      </c>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row>
    <row r="443" spans="1:33" ht="18" hidden="1" x14ac:dyDescent="0.2">
      <c r="A443" s="102"/>
      <c r="B443" s="53"/>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row>
    <row r="444" spans="1:33" ht="18" hidden="1" customHeight="1" x14ac:dyDescent="0.2">
      <c r="A444" s="102"/>
      <c r="B444" s="53" t="s">
        <v>5</v>
      </c>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row>
    <row r="445" spans="1:33" ht="18" hidden="1" x14ac:dyDescent="0.2">
      <c r="A445" s="102"/>
      <c r="B445" s="53" t="s">
        <v>6</v>
      </c>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row>
    <row r="446" spans="1:33" ht="18" hidden="1" x14ac:dyDescent="0.2">
      <c r="A446" s="102"/>
      <c r="B446" s="53"/>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row>
    <row r="447" spans="1:33" ht="18" hidden="1" x14ac:dyDescent="0.4">
      <c r="A447" s="43" t="s">
        <v>219</v>
      </c>
      <c r="B447" s="43"/>
      <c r="C447" s="43"/>
      <c r="D447" s="43"/>
      <c r="E447" s="43"/>
      <c r="F447" s="43"/>
      <c r="G447" s="43"/>
      <c r="H447" s="43"/>
      <c r="I447" s="43"/>
      <c r="J447" s="43"/>
      <c r="K447" s="43"/>
      <c r="L447" s="43"/>
      <c r="M447" s="43"/>
      <c r="N447" s="43"/>
      <c r="O447" s="43"/>
      <c r="P447" s="43"/>
      <c r="Q447" s="43"/>
      <c r="R447" s="43"/>
      <c r="S447" s="43"/>
      <c r="T447" s="43"/>
      <c r="U447" s="54"/>
      <c r="V447" s="54"/>
      <c r="W447" s="104" t="s">
        <v>186</v>
      </c>
      <c r="X447" s="104"/>
      <c r="Y447" s="104"/>
      <c r="Z447" s="104"/>
      <c r="AA447" s="104"/>
      <c r="AB447" s="104"/>
      <c r="AC447" s="104"/>
      <c r="AD447" s="54"/>
      <c r="AE447" s="54"/>
      <c r="AF447" s="54"/>
      <c r="AG447" s="54"/>
    </row>
    <row r="448" spans="1:33" ht="18" hidden="1" x14ac:dyDescent="0.4">
      <c r="A448" s="43"/>
      <c r="B448" s="43"/>
      <c r="C448" s="43"/>
      <c r="D448" s="43"/>
      <c r="E448" s="43"/>
      <c r="F448" s="43"/>
      <c r="G448" s="43"/>
      <c r="H448" s="43"/>
      <c r="I448" s="43"/>
      <c r="J448" s="43"/>
      <c r="K448" s="43"/>
      <c r="L448" s="43"/>
      <c r="M448" s="43"/>
      <c r="N448" s="43"/>
      <c r="O448" s="43"/>
      <c r="P448" s="43"/>
      <c r="Q448" s="43"/>
      <c r="R448" s="43"/>
      <c r="S448" s="43"/>
      <c r="T448" s="43"/>
      <c r="U448" s="54"/>
      <c r="V448" s="54"/>
      <c r="W448" s="43"/>
      <c r="X448" s="43"/>
      <c r="Y448" s="43"/>
      <c r="Z448" s="43"/>
      <c r="AA448" s="43"/>
      <c r="AB448" s="43"/>
      <c r="AC448" s="43"/>
      <c r="AD448" s="43"/>
      <c r="AE448" s="43"/>
      <c r="AF448" s="43"/>
      <c r="AG448" s="43"/>
    </row>
    <row r="449" spans="1:33" ht="18" hidden="1" x14ac:dyDescent="0.4">
      <c r="A449" s="43"/>
      <c r="B449" s="43"/>
      <c r="C449" s="43"/>
      <c r="D449" s="43"/>
      <c r="E449" s="43"/>
      <c r="F449" s="43"/>
      <c r="G449" s="43"/>
      <c r="H449" s="43"/>
      <c r="I449" s="43"/>
      <c r="J449" s="43"/>
      <c r="K449" s="43"/>
      <c r="L449" s="43"/>
      <c r="M449" s="43"/>
      <c r="N449" s="43"/>
      <c r="O449" s="43"/>
      <c r="P449" s="105" t="s">
        <v>28</v>
      </c>
      <c r="Q449" s="105"/>
      <c r="R449" s="104" t="str">
        <f>IF(R359=0,"",R359)</f>
        <v>พีรวัส</v>
      </c>
      <c r="S449" s="104"/>
      <c r="T449" s="104"/>
      <c r="U449" s="106" t="s">
        <v>221</v>
      </c>
      <c r="V449" s="106"/>
      <c r="W449" s="104" t="str">
        <f>IF(W359=0,"",W359)</f>
        <v>วรพงศ์</v>
      </c>
      <c r="X449" s="104"/>
      <c r="Y449" s="104"/>
      <c r="Z449" s="55" t="s">
        <v>29</v>
      </c>
      <c r="AA449" s="107">
        <f>IF(AA359=0,"",AA359)</f>
        <v>46204</v>
      </c>
      <c r="AB449" s="107"/>
      <c r="AC449" s="107"/>
      <c r="AD449" s="43"/>
      <c r="AE449" s="104"/>
      <c r="AF449" s="104"/>
      <c r="AG449" s="104"/>
    </row>
    <row r="450" spans="1:33" hidden="1" x14ac:dyDescent="0.2">
      <c r="A450" s="45"/>
      <c r="B450" s="45"/>
      <c r="C450" s="45"/>
      <c r="D450" s="45"/>
      <c r="E450" s="45"/>
      <c r="F450" s="45"/>
      <c r="G450" s="45"/>
      <c r="H450" s="45"/>
      <c r="I450" s="45"/>
      <c r="J450" s="45"/>
      <c r="K450" s="45"/>
      <c r="L450" s="45"/>
      <c r="M450" s="45"/>
      <c r="N450" s="45"/>
      <c r="O450" s="45"/>
      <c r="P450" s="45"/>
      <c r="Q450" s="45"/>
      <c r="R450" s="45"/>
      <c r="S450" s="45"/>
      <c r="T450" s="45"/>
      <c r="U450" s="56"/>
      <c r="V450" s="56"/>
      <c r="W450" s="45"/>
      <c r="X450" s="45"/>
      <c r="Y450" s="45"/>
      <c r="Z450" s="45"/>
      <c r="AA450" s="45"/>
      <c r="AB450" s="45"/>
      <c r="AC450" s="45"/>
      <c r="AD450" s="45"/>
      <c r="AE450" s="45"/>
      <c r="AF450" s="45"/>
      <c r="AG450" s="45"/>
    </row>
    <row r="451" spans="1:33" ht="23.25" x14ac:dyDescent="0.5">
      <c r="A451" s="80" t="s">
        <v>210</v>
      </c>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row>
    <row r="452" spans="1:33" ht="21" x14ac:dyDescent="0.45">
      <c r="A452" s="6" t="s">
        <v>22</v>
      </c>
      <c r="B452" s="81" t="s">
        <v>109</v>
      </c>
      <c r="C452" s="81"/>
      <c r="D452" s="81"/>
      <c r="E452" s="81"/>
      <c r="F452" s="81"/>
      <c r="G452" s="81"/>
      <c r="H452" s="6" t="s">
        <v>24</v>
      </c>
      <c r="I452" s="84" t="s">
        <v>110</v>
      </c>
      <c r="J452" s="88"/>
      <c r="K452" s="88"/>
      <c r="L452" s="88"/>
      <c r="M452" s="83" t="s">
        <v>25</v>
      </c>
      <c r="N452" s="83"/>
      <c r="O452" s="81" t="s">
        <v>111</v>
      </c>
      <c r="P452" s="81"/>
      <c r="Q452" s="81"/>
      <c r="R452" s="81"/>
      <c r="S452" s="81"/>
      <c r="T452" s="6" t="s">
        <v>20</v>
      </c>
      <c r="U452" s="101">
        <f>$U$2</f>
        <v>2569</v>
      </c>
      <c r="V452" s="101"/>
      <c r="W452" s="83" t="s">
        <v>35</v>
      </c>
      <c r="X452" s="83"/>
      <c r="Y452" s="83"/>
      <c r="Z452" s="4" t="s">
        <v>311</v>
      </c>
      <c r="AA452" s="1"/>
      <c r="AB452" s="1"/>
      <c r="AC452" s="1"/>
    </row>
    <row r="453" spans="1:33" ht="18.75" customHeight="1" x14ac:dyDescent="0.2">
      <c r="A453" s="20" t="s">
        <v>0</v>
      </c>
      <c r="B453" s="21" t="s">
        <v>2</v>
      </c>
      <c r="C453" s="98" t="str">
        <f>C423</f>
        <v>เดือน กรกฏาคม</v>
      </c>
      <c r="D453" s="99"/>
      <c r="E453" s="99"/>
      <c r="F453" s="99"/>
      <c r="G453" s="99"/>
      <c r="H453" s="99"/>
      <c r="I453" s="99"/>
      <c r="J453" s="99"/>
      <c r="K453" s="99"/>
      <c r="L453" s="99"/>
      <c r="M453" s="99"/>
      <c r="N453" s="99"/>
      <c r="O453" s="99"/>
      <c r="P453" s="99"/>
      <c r="Q453" s="99"/>
      <c r="R453" s="99"/>
      <c r="S453" s="99"/>
      <c r="T453" s="99"/>
      <c r="U453" s="99"/>
      <c r="V453" s="99"/>
      <c r="W453" s="99"/>
      <c r="X453" s="99"/>
      <c r="Y453" s="99"/>
      <c r="Z453" s="99"/>
      <c r="AA453" s="99"/>
      <c r="AB453" s="99"/>
      <c r="AC453" s="99"/>
      <c r="AD453" s="99"/>
      <c r="AE453" s="99"/>
      <c r="AF453" s="99"/>
      <c r="AG453" s="99"/>
    </row>
    <row r="454" spans="1:33" ht="18" x14ac:dyDescent="0.2">
      <c r="A454" s="23" t="s">
        <v>1</v>
      </c>
      <c r="B454" s="24" t="s">
        <v>3</v>
      </c>
      <c r="C454" s="22">
        <f>C424</f>
        <v>1</v>
      </c>
      <c r="D454" s="22">
        <f>D424</f>
        <v>2</v>
      </c>
      <c r="E454" s="22">
        <f t="shared" ref="E454:AG454" si="68">E424</f>
        <v>3</v>
      </c>
      <c r="F454" s="22">
        <f t="shared" si="68"/>
        <v>4</v>
      </c>
      <c r="G454" s="22">
        <f t="shared" si="68"/>
        <v>5</v>
      </c>
      <c r="H454" s="22">
        <f t="shared" si="68"/>
        <v>6</v>
      </c>
      <c r="I454" s="22">
        <f t="shared" si="68"/>
        <v>7</v>
      </c>
      <c r="J454" s="22">
        <f t="shared" si="68"/>
        <v>8</v>
      </c>
      <c r="K454" s="22">
        <f t="shared" si="68"/>
        <v>9</v>
      </c>
      <c r="L454" s="22">
        <f t="shared" si="68"/>
        <v>10</v>
      </c>
      <c r="M454" s="22">
        <f t="shared" si="68"/>
        <v>11</v>
      </c>
      <c r="N454" s="22">
        <f t="shared" si="68"/>
        <v>12</v>
      </c>
      <c r="O454" s="22">
        <f t="shared" si="68"/>
        <v>13</v>
      </c>
      <c r="P454" s="22">
        <f t="shared" si="68"/>
        <v>14</v>
      </c>
      <c r="Q454" s="22">
        <f t="shared" si="68"/>
        <v>15</v>
      </c>
      <c r="R454" s="22">
        <f t="shared" si="68"/>
        <v>16</v>
      </c>
      <c r="S454" s="22">
        <f t="shared" si="68"/>
        <v>17</v>
      </c>
      <c r="T454" s="22">
        <f t="shared" si="68"/>
        <v>18</v>
      </c>
      <c r="U454" s="22">
        <f t="shared" si="68"/>
        <v>19</v>
      </c>
      <c r="V454" s="22">
        <f t="shared" si="68"/>
        <v>20</v>
      </c>
      <c r="W454" s="22">
        <f t="shared" si="68"/>
        <v>21</v>
      </c>
      <c r="X454" s="22">
        <f t="shared" si="68"/>
        <v>22</v>
      </c>
      <c r="Y454" s="22">
        <f t="shared" si="68"/>
        <v>23</v>
      </c>
      <c r="Z454" s="22">
        <f t="shared" si="68"/>
        <v>24</v>
      </c>
      <c r="AA454" s="22">
        <f t="shared" si="68"/>
        <v>25</v>
      </c>
      <c r="AB454" s="22">
        <f t="shared" si="68"/>
        <v>26</v>
      </c>
      <c r="AC454" s="22">
        <f t="shared" si="68"/>
        <v>27</v>
      </c>
      <c r="AD454" s="22">
        <f t="shared" si="68"/>
        <v>28</v>
      </c>
      <c r="AE454" s="22">
        <f t="shared" si="68"/>
        <v>29</v>
      </c>
      <c r="AF454" s="22">
        <f t="shared" si="68"/>
        <v>30</v>
      </c>
      <c r="AG454" s="22">
        <f t="shared" si="68"/>
        <v>31</v>
      </c>
    </row>
    <row r="455" spans="1:33" ht="18" x14ac:dyDescent="0.2">
      <c r="A455" s="25"/>
      <c r="B455" s="26"/>
      <c r="C455" s="22" t="str">
        <f>_xlfn.IFNA(IF(OR(C454="",C454=0),"",(VLOOKUP(B455,'น้ำยา-เครื่อง'!$A:$AF,C454+1,FALSE))),"")</f>
        <v/>
      </c>
      <c r="D455" s="22" t="str">
        <f>_xlfn.IFNA(IF(OR(D454="",D454=0),"",(VLOOKUP(B455,'น้ำยา-เครื่อง'!$A:$AF,D454+1,FALSE))),"")</f>
        <v/>
      </c>
      <c r="E455" s="22" t="str">
        <f>_xlfn.IFNA(IF(OR(E454="",E454=0),"",(VLOOKUP(B455,'น้ำยา-เครื่อง'!$A:$AF,E454+1,FALSE))),"")</f>
        <v/>
      </c>
      <c r="F455" s="22" t="str">
        <f>_xlfn.IFNA(IF(OR(F454="",F454=0),"",(VLOOKUP(B455,'น้ำยา-เครื่อง'!$A:$AF,F454+1,FALSE))),"")</f>
        <v/>
      </c>
      <c r="G455" s="22" t="str">
        <f>_xlfn.IFNA(IF(OR(G454="",G454=0),"",(VLOOKUP(B455,'น้ำยา-เครื่อง'!$A:$AF,G454+1,FALSE))),"")</f>
        <v/>
      </c>
      <c r="H455" s="22" t="str">
        <f>_xlfn.IFNA(IF(OR(H454="",H454=0),"",(VLOOKUP(B455,'น้ำยา-เครื่อง'!$A:$AF,H454+1,FALSE))),"")</f>
        <v/>
      </c>
      <c r="I455" s="22" t="str">
        <f>_xlfn.IFNA(IF(OR(I454="",I454=0),"",(VLOOKUP(B455,'น้ำยา-เครื่อง'!$A:$AF,I454+1,FALSE))),"")</f>
        <v/>
      </c>
      <c r="J455" s="22" t="str">
        <f>_xlfn.IFNA(IF(OR(J454="",J454=0),"",(VLOOKUP(B455,'น้ำยา-เครื่อง'!$A:$AF,J454+1,FALSE))),"")</f>
        <v/>
      </c>
      <c r="K455" s="22" t="str">
        <f>_xlfn.IFNA(IF(OR(K454="",K454=0),"",(VLOOKUP(B455,'น้ำยา-เครื่อง'!$A:$AF,K454+1,FALSE))),"")</f>
        <v/>
      </c>
      <c r="L455" s="22" t="str">
        <f>_xlfn.IFNA(IF(OR(L454="",L454=0),"",(VLOOKUP(B455,'น้ำยา-เครื่อง'!$A:$AF,L454+1,FALSE))),"")</f>
        <v/>
      </c>
      <c r="M455" s="22" t="str">
        <f>_xlfn.IFNA(IF(OR(M454="",M454=0),"",(VLOOKUP(B455,'น้ำยา-เครื่อง'!$A:$AF,M454+1,FALSE))),"")</f>
        <v/>
      </c>
      <c r="N455" s="22" t="str">
        <f>_xlfn.IFNA(IF(OR(N454="",N454=0),"",(VLOOKUP(B455,'น้ำยา-เครื่อง'!$A:$AF,N454+1,FALSE))),"")</f>
        <v/>
      </c>
      <c r="O455" s="22" t="str">
        <f>_xlfn.IFNA(IF(OR(O454="",O454=0),"",(VLOOKUP(B455,'น้ำยา-เครื่อง'!$A:$AF,O454+1,FALSE))),"")</f>
        <v/>
      </c>
      <c r="P455" s="22" t="str">
        <f>_xlfn.IFNA(IF(OR(P454="",P454=0),"",(VLOOKUP(B455,'น้ำยา-เครื่อง'!$A:$AF,P454+1,FALSE))),"")</f>
        <v/>
      </c>
      <c r="Q455" s="22" t="str">
        <f>_xlfn.IFNA(IF(OR(Q454="",Q454=0),"",(VLOOKUP(B455,'น้ำยา-เครื่อง'!$A:$AF,Q454+1,FALSE))),"")</f>
        <v/>
      </c>
      <c r="R455" s="22" t="str">
        <f>_xlfn.IFNA(IF(OR(R454="",R454=0),"",(VLOOKUP(B455,'น้ำยา-เครื่อง'!$A:$AF,R454+1,FALSE))),"")</f>
        <v/>
      </c>
      <c r="S455" s="22" t="str">
        <f>_xlfn.IFNA(IF(OR(S454="",S454=0),"",(VLOOKUP(B455,'น้ำยา-เครื่อง'!$A:$AF,S454+1,FALSE))),"")</f>
        <v/>
      </c>
      <c r="T455" s="22" t="str">
        <f>_xlfn.IFNA(IF(OR(T454="",T454=0),"",(VLOOKUP(B455,'น้ำยา-เครื่อง'!$A:$AF,T454+1,FALSE))),"")</f>
        <v/>
      </c>
      <c r="U455" s="22" t="str">
        <f>_xlfn.IFNA(IF(OR(U454="",U454=0),"",(VLOOKUP(B455,'น้ำยา-เครื่อง'!$A:$AF,U454+1,FALSE))),"")</f>
        <v/>
      </c>
      <c r="V455" s="22" t="str">
        <f>_xlfn.IFNA(IF(OR(V454="",V454=0),"",(VLOOKUP(B455,'น้ำยา-เครื่อง'!$A:$AF,V454+1,FALSE))),"")</f>
        <v/>
      </c>
      <c r="W455" s="22" t="str">
        <f>_xlfn.IFNA(IF(OR(W454="",W454=0),"",(VLOOKUP(B455,'น้ำยา-เครื่อง'!$A:$AF,W454+1,FALSE))),"")</f>
        <v/>
      </c>
      <c r="X455" s="22" t="str">
        <f>_xlfn.IFNA(IF(OR(X454="",X454=0),"",(VLOOKUP(B455,'น้ำยา-เครื่อง'!$A:$AF,X454+1,FALSE))),"")</f>
        <v/>
      </c>
      <c r="Y455" s="22" t="str">
        <f>_xlfn.IFNA(IF(OR(Y454="",Y454=0),"",(VLOOKUP(B455,'น้ำยา-เครื่อง'!$A:$AF,Y454+1,FALSE))),"")</f>
        <v/>
      </c>
      <c r="Z455" s="22" t="str">
        <f>_xlfn.IFNA(IF(OR(Z454="",Z454=0),"",(VLOOKUP(B455,'น้ำยา-เครื่อง'!$A:$AF,Z454+1,FALSE))),"")</f>
        <v/>
      </c>
      <c r="AA455" s="22" t="str">
        <f>_xlfn.IFNA(IF(OR(AA454="",AA454=0),"",(VLOOKUP(B455,'น้ำยา-เครื่อง'!$A:$AF,AA454+1,FALSE))),"")</f>
        <v/>
      </c>
      <c r="AB455" s="22" t="str">
        <f>_xlfn.IFNA(IF(OR(AB454="",AB454=0),"",(VLOOKUP(B455,'น้ำยา-เครื่อง'!$A:$AF,AB454+1,FALSE))),"")</f>
        <v/>
      </c>
      <c r="AC455" s="22" t="str">
        <f>_xlfn.IFNA(IF(OR(AC454="",AC454=0),"",(VLOOKUP(B455,'น้ำยา-เครื่อง'!$A:$AF,AC454+1,FALSE))),"")</f>
        <v/>
      </c>
      <c r="AD455" s="22" t="str">
        <f>_xlfn.IFNA(IF(OR(AD454="",AD454=0),"",(VLOOKUP(B455,'น้ำยา-เครื่อง'!$A:$AF,AD454+1,FALSE))),"")</f>
        <v/>
      </c>
      <c r="AE455" s="22" t="str">
        <f>_xlfn.IFNA(IF(OR(AE454="",AE454=0),"",(VLOOKUP(B455,'น้ำยา-เครื่อง'!$A:$AF,AE454+1,FALSE))),"")</f>
        <v/>
      </c>
      <c r="AF455" s="22" t="str">
        <f>_xlfn.IFNA(IF(OR(AF454="",AF454=0),"",(VLOOKUP(B455,'น้ำยา-เครื่อง'!$A:$AF,AF454+1,FALSE))),"")</f>
        <v/>
      </c>
      <c r="AG455" s="22" t="str">
        <f>_xlfn.IFNA(IF(OR(AG454="",AG454=0),"",(VLOOKUP(B455,'น้ำยา-เครื่อง'!$A:$AF,AG454+1,FALSE))),"")</f>
        <v/>
      </c>
    </row>
    <row r="456" spans="1:33" ht="18.75" customHeight="1" x14ac:dyDescent="0.2">
      <c r="A456" s="70" t="s">
        <v>115</v>
      </c>
      <c r="B456" s="27" t="s">
        <v>5</v>
      </c>
      <c r="C456" s="28"/>
      <c r="D456" s="28"/>
      <c r="E456" s="28"/>
      <c r="F456" s="28"/>
      <c r="G456" s="29"/>
      <c r="H456" s="28"/>
      <c r="I456" s="28"/>
      <c r="J456" s="28"/>
      <c r="K456" s="29"/>
      <c r="L456" s="28"/>
      <c r="M456" s="28"/>
      <c r="N456" s="28"/>
      <c r="O456" s="28"/>
      <c r="P456" s="29"/>
      <c r="Q456" s="28"/>
      <c r="R456" s="28"/>
      <c r="S456" s="28"/>
      <c r="T456" s="29"/>
      <c r="U456" s="28"/>
      <c r="V456" s="28"/>
      <c r="W456" s="28"/>
      <c r="X456" s="28"/>
      <c r="Y456" s="29"/>
      <c r="Z456" s="28"/>
      <c r="AA456" s="28"/>
      <c r="AB456" s="22"/>
      <c r="AC456" s="29"/>
      <c r="AD456" s="28"/>
      <c r="AE456" s="28"/>
      <c r="AF456" s="22"/>
      <c r="AG456" s="29"/>
    </row>
    <row r="457" spans="1:33" ht="18" x14ac:dyDescent="0.2">
      <c r="A457" s="70"/>
      <c r="B457" s="27" t="s">
        <v>6</v>
      </c>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row>
    <row r="458" spans="1:33" ht="18" x14ac:dyDescent="0.2">
      <c r="A458" s="70"/>
      <c r="B458" s="27"/>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row>
    <row r="459" spans="1:33" ht="18.75" customHeight="1" x14ac:dyDescent="0.2">
      <c r="A459" s="70" t="s">
        <v>116</v>
      </c>
      <c r="B459" s="27" t="s">
        <v>5</v>
      </c>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2"/>
      <c r="AC459" s="28"/>
      <c r="AD459" s="28"/>
      <c r="AE459" s="28"/>
      <c r="AF459" s="22"/>
      <c r="AG459" s="28"/>
    </row>
    <row r="460" spans="1:33" ht="18" x14ac:dyDescent="0.2">
      <c r="A460" s="70"/>
      <c r="B460" s="27" t="s">
        <v>6</v>
      </c>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row>
    <row r="461" spans="1:33" ht="18" x14ac:dyDescent="0.2">
      <c r="A461" s="70"/>
      <c r="B461" s="27"/>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row>
    <row r="462" spans="1:33" ht="18" x14ac:dyDescent="0.2">
      <c r="A462" s="70" t="s">
        <v>235</v>
      </c>
      <c r="B462" s="27" t="s">
        <v>5</v>
      </c>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2"/>
      <c r="AC462" s="28"/>
      <c r="AD462" s="28"/>
      <c r="AE462" s="28"/>
      <c r="AF462" s="22"/>
      <c r="AG462" s="28"/>
    </row>
    <row r="463" spans="1:33" ht="18" x14ac:dyDescent="0.2">
      <c r="A463" s="70"/>
      <c r="B463" s="27" t="s">
        <v>6</v>
      </c>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row>
    <row r="464" spans="1:33" ht="18" x14ac:dyDescent="0.2">
      <c r="A464" s="70"/>
      <c r="B464" s="27"/>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row>
    <row r="465" spans="1:33" ht="18.75" customHeight="1" x14ac:dyDescent="0.2">
      <c r="A465" s="20" t="s">
        <v>0</v>
      </c>
      <c r="B465" s="21" t="s">
        <v>2</v>
      </c>
      <c r="C465" s="98" t="str">
        <f>C435</f>
        <v>เดือน สิงหาคม</v>
      </c>
      <c r="D465" s="99"/>
      <c r="E465" s="99"/>
      <c r="F465" s="99"/>
      <c r="G465" s="99"/>
      <c r="H465" s="99"/>
      <c r="I465" s="99"/>
      <c r="J465" s="99"/>
      <c r="K465" s="99"/>
      <c r="L465" s="99"/>
      <c r="M465" s="99"/>
      <c r="N465" s="99"/>
      <c r="O465" s="99"/>
      <c r="P465" s="99"/>
      <c r="Q465" s="99"/>
      <c r="R465" s="99"/>
      <c r="S465" s="99"/>
      <c r="T465" s="99"/>
      <c r="U465" s="99"/>
      <c r="V465" s="99"/>
      <c r="W465" s="99"/>
      <c r="X465" s="99"/>
      <c r="Y465" s="99"/>
      <c r="Z465" s="99"/>
      <c r="AA465" s="99"/>
      <c r="AB465" s="99"/>
      <c r="AC465" s="99"/>
      <c r="AD465" s="99"/>
      <c r="AE465" s="99"/>
      <c r="AF465" s="99"/>
      <c r="AG465" s="99"/>
    </row>
    <row r="466" spans="1:33" ht="18" x14ac:dyDescent="0.2">
      <c r="A466" s="23" t="s">
        <v>1</v>
      </c>
      <c r="B466" s="24" t="s">
        <v>3</v>
      </c>
      <c r="C466" s="22">
        <f>C436</f>
        <v>1</v>
      </c>
      <c r="D466" s="22">
        <f t="shared" ref="D466:AG466" si="69">D436</f>
        <v>2</v>
      </c>
      <c r="E466" s="22">
        <f t="shared" si="69"/>
        <v>3</v>
      </c>
      <c r="F466" s="22">
        <f t="shared" si="69"/>
        <v>4</v>
      </c>
      <c r="G466" s="22">
        <f t="shared" si="69"/>
        <v>5</v>
      </c>
      <c r="H466" s="22">
        <f t="shared" si="69"/>
        <v>6</v>
      </c>
      <c r="I466" s="22">
        <f t="shared" si="69"/>
        <v>7</v>
      </c>
      <c r="J466" s="22">
        <f t="shared" si="69"/>
        <v>8</v>
      </c>
      <c r="K466" s="22">
        <f t="shared" si="69"/>
        <v>9</v>
      </c>
      <c r="L466" s="22">
        <f t="shared" si="69"/>
        <v>10</v>
      </c>
      <c r="M466" s="22">
        <f t="shared" si="69"/>
        <v>11</v>
      </c>
      <c r="N466" s="22">
        <f t="shared" si="69"/>
        <v>12</v>
      </c>
      <c r="O466" s="22">
        <f t="shared" si="69"/>
        <v>13</v>
      </c>
      <c r="P466" s="22">
        <f t="shared" si="69"/>
        <v>14</v>
      </c>
      <c r="Q466" s="22">
        <f t="shared" si="69"/>
        <v>15</v>
      </c>
      <c r="R466" s="22">
        <f t="shared" si="69"/>
        <v>16</v>
      </c>
      <c r="S466" s="22">
        <f t="shared" si="69"/>
        <v>17</v>
      </c>
      <c r="T466" s="22">
        <f t="shared" si="69"/>
        <v>18</v>
      </c>
      <c r="U466" s="22">
        <f t="shared" si="69"/>
        <v>19</v>
      </c>
      <c r="V466" s="22">
        <f t="shared" si="69"/>
        <v>20</v>
      </c>
      <c r="W466" s="22">
        <f t="shared" si="69"/>
        <v>21</v>
      </c>
      <c r="X466" s="22">
        <f t="shared" si="69"/>
        <v>22</v>
      </c>
      <c r="Y466" s="22">
        <f t="shared" si="69"/>
        <v>23</v>
      </c>
      <c r="Z466" s="22">
        <f t="shared" si="69"/>
        <v>24</v>
      </c>
      <c r="AA466" s="22">
        <f t="shared" si="69"/>
        <v>25</v>
      </c>
      <c r="AB466" s="22">
        <f t="shared" si="69"/>
        <v>26</v>
      </c>
      <c r="AC466" s="22">
        <f t="shared" si="69"/>
        <v>27</v>
      </c>
      <c r="AD466" s="22">
        <f t="shared" si="69"/>
        <v>28</v>
      </c>
      <c r="AE466" s="22">
        <f t="shared" si="69"/>
        <v>29</v>
      </c>
      <c r="AF466" s="22">
        <f t="shared" si="69"/>
        <v>30</v>
      </c>
      <c r="AG466" s="22">
        <f t="shared" si="69"/>
        <v>0</v>
      </c>
    </row>
    <row r="467" spans="1:33" ht="18" x14ac:dyDescent="0.2">
      <c r="A467" s="25"/>
      <c r="B467" s="26"/>
      <c r="C467" s="22" t="str">
        <f>_xlfn.IFNA(IF(OR(C466="",C466=0),"",(VLOOKUP($B467,'น้ำยา-เครื่อง'!$A$14:$AF$23,C466+1,FALSE))),"")</f>
        <v/>
      </c>
      <c r="D467" s="22" t="str">
        <f>_xlfn.IFNA(IF(OR(D466="",D466=0),"",(VLOOKUP($B467,'น้ำยา-เครื่อง'!$A$14:$AF$23,D466+1,FALSE))),"")</f>
        <v/>
      </c>
      <c r="E467" s="22" t="str">
        <f>_xlfn.IFNA(IF(OR(E466="",E466=0),"",(VLOOKUP($B467,'น้ำยา-เครื่อง'!$A$14:$AF$23,E466+1,FALSE))),"")</f>
        <v/>
      </c>
      <c r="F467" s="22" t="str">
        <f>_xlfn.IFNA(IF(OR(F466="",F466=0),"",(VLOOKUP($B467,'น้ำยา-เครื่อง'!$A$14:$AF$23,F466+1,FALSE))),"")</f>
        <v/>
      </c>
      <c r="G467" s="22" t="str">
        <f>_xlfn.IFNA(IF(OR(G466="",G466=0),"",(VLOOKUP($B467,'น้ำยา-เครื่อง'!$A$14:$AF$23,G466+1,FALSE))),"")</f>
        <v/>
      </c>
      <c r="H467" s="22" t="str">
        <f>_xlfn.IFNA(IF(OR(H466="",H466=0),"",(VLOOKUP($B467,'น้ำยา-เครื่อง'!$A$14:$AF$23,H466+1,FALSE))),"")</f>
        <v/>
      </c>
      <c r="I467" s="22" t="str">
        <f>_xlfn.IFNA(IF(OR(I466="",I466=0),"",(VLOOKUP($B467,'น้ำยา-เครื่อง'!$A$14:$AF$23,I466+1,FALSE))),"")</f>
        <v/>
      </c>
      <c r="J467" s="22" t="str">
        <f>_xlfn.IFNA(IF(OR(J466="",J466=0),"",(VLOOKUP($B467,'น้ำยา-เครื่อง'!$A$14:$AF$23,J466+1,FALSE))),"")</f>
        <v/>
      </c>
      <c r="K467" s="22" t="str">
        <f>_xlfn.IFNA(IF(OR(K466="",K466=0),"",(VLOOKUP($B467,'น้ำยา-เครื่อง'!$A$14:$AF$23,K466+1,FALSE))),"")</f>
        <v/>
      </c>
      <c r="L467" s="22" t="str">
        <f>_xlfn.IFNA(IF(OR(L466="",L466=0),"",(VLOOKUP($B467,'น้ำยา-เครื่อง'!$A$14:$AF$23,L466+1,FALSE))),"")</f>
        <v/>
      </c>
      <c r="M467" s="22" t="str">
        <f>_xlfn.IFNA(IF(OR(M466="",M466=0),"",(VLOOKUP($B467,'น้ำยา-เครื่อง'!$A$14:$AF$23,M466+1,FALSE))),"")</f>
        <v/>
      </c>
      <c r="N467" s="22" t="str">
        <f>_xlfn.IFNA(IF(OR(N466="",N466=0),"",(VLOOKUP($B467,'น้ำยา-เครื่อง'!$A$14:$AF$23,N466+1,FALSE))),"")</f>
        <v/>
      </c>
      <c r="O467" s="22" t="str">
        <f>_xlfn.IFNA(IF(OR(O466="",O466=0),"",(VLOOKUP($B467,'น้ำยา-เครื่อง'!$A$14:$AF$23,O466+1,FALSE))),"")</f>
        <v/>
      </c>
      <c r="P467" s="22" t="str">
        <f>_xlfn.IFNA(IF(OR(P466="",P466=0),"",(VLOOKUP($B467,'น้ำยา-เครื่อง'!$A$14:$AF$23,P466+1,FALSE))),"")</f>
        <v/>
      </c>
      <c r="Q467" s="22" t="str">
        <f>_xlfn.IFNA(IF(OR(Q466="",Q466=0),"",(VLOOKUP($B467,'น้ำยา-เครื่อง'!$A$14:$AF$23,Q466+1,FALSE))),"")</f>
        <v/>
      </c>
      <c r="R467" s="22" t="str">
        <f>_xlfn.IFNA(IF(OR(R466="",R466=0),"",(VLOOKUP($B467,'น้ำยา-เครื่อง'!$A$14:$AF$23,R466+1,FALSE))),"")</f>
        <v/>
      </c>
      <c r="S467" s="22" t="str">
        <f>_xlfn.IFNA(IF(OR(S466="",S466=0),"",(VLOOKUP($B467,'น้ำยา-เครื่อง'!$A$14:$AF$23,S466+1,FALSE))),"")</f>
        <v/>
      </c>
      <c r="T467" s="22" t="str">
        <f>_xlfn.IFNA(IF(OR(T466="",T466=0),"",(VLOOKUP($B467,'น้ำยา-เครื่อง'!$A$14:$AF$23,T466+1,FALSE))),"")</f>
        <v/>
      </c>
      <c r="U467" s="22" t="str">
        <f>_xlfn.IFNA(IF(OR(U466="",U466=0),"",(VLOOKUP($B467,'น้ำยา-เครื่อง'!$A$14:$AF$23,U466+1,FALSE))),"")</f>
        <v/>
      </c>
      <c r="V467" s="22" t="str">
        <f>_xlfn.IFNA(IF(OR(V466="",V466=0),"",(VLOOKUP($B467,'น้ำยา-เครื่อง'!$A$14:$AF$23,V466+1,FALSE))),"")</f>
        <v/>
      </c>
      <c r="W467" s="22" t="str">
        <f>_xlfn.IFNA(IF(OR(W466="",W466=0),"",(VLOOKUP($B467,'น้ำยา-เครื่อง'!$A$14:$AF$23,W466+1,FALSE))),"")</f>
        <v/>
      </c>
      <c r="X467" s="22" t="str">
        <f>_xlfn.IFNA(IF(OR(X466="",X466=0),"",(VLOOKUP($B467,'น้ำยา-เครื่อง'!$A$14:$AF$23,X466+1,FALSE))),"")</f>
        <v/>
      </c>
      <c r="Y467" s="22" t="str">
        <f>_xlfn.IFNA(IF(OR(Y466="",Y466=0),"",(VLOOKUP($B467,'น้ำยา-เครื่อง'!$A$14:$AF$23,Y466+1,FALSE))),"")</f>
        <v/>
      </c>
      <c r="Z467" s="22" t="str">
        <f>_xlfn.IFNA(IF(OR(Z466="",Z466=0),"",(VLOOKUP($B467,'น้ำยา-เครื่อง'!$A$14:$AF$23,Z466+1,FALSE))),"")</f>
        <v/>
      </c>
      <c r="AA467" s="22" t="str">
        <f>_xlfn.IFNA(IF(OR(AA466="",AA466=0),"",(VLOOKUP($B467,'น้ำยา-เครื่อง'!$A$14:$AF$23,AA466+1,FALSE))),"")</f>
        <v/>
      </c>
      <c r="AB467" s="22" t="str">
        <f>_xlfn.IFNA(IF(OR(AB466="",AB466=0),"",(VLOOKUP($B467,'น้ำยา-เครื่อง'!$A$14:$AF$23,AB466+1,FALSE))),"")</f>
        <v/>
      </c>
      <c r="AC467" s="22" t="str">
        <f>_xlfn.IFNA(IF(OR(AC466="",AC466=0),"",(VLOOKUP($B467,'น้ำยา-เครื่อง'!$A$14:$AF$23,AC466+1,FALSE))),"")</f>
        <v/>
      </c>
      <c r="AD467" s="22" t="str">
        <f>_xlfn.IFNA(IF(OR(AD466="",AD466=0),"",(VLOOKUP($B467,'น้ำยา-เครื่อง'!$A$14:$AF$23,AD466+1,FALSE))),"")</f>
        <v/>
      </c>
      <c r="AE467" s="22" t="str">
        <f>_xlfn.IFNA(IF(OR(AE466="",AE466=0),"",(VLOOKUP($B467,'น้ำยา-เครื่อง'!$A$14:$AF$23,AE466+1,FALSE))),"")</f>
        <v/>
      </c>
      <c r="AF467" s="22" t="str">
        <f>_xlfn.IFNA(IF(OR(AF466="",AF466=0),"",(VLOOKUP($B467,'น้ำยา-เครื่อง'!$A$14:$AF$23,AF466+1,FALSE))),"")</f>
        <v/>
      </c>
      <c r="AG467" s="22" t="str">
        <f>_xlfn.IFNA(IF(OR(AG466="",AG466=0),"",(VLOOKUP($B467,'น้ำยา-เครื่อง'!$A$14:$AF$23,AG466+1,FALSE))),"")</f>
        <v/>
      </c>
    </row>
    <row r="468" spans="1:33" ht="18.75" customHeight="1" x14ac:dyDescent="0.2">
      <c r="A468" s="70" t="s">
        <v>115</v>
      </c>
      <c r="B468" s="27" t="s">
        <v>5</v>
      </c>
      <c r="C468" s="28"/>
      <c r="D468" s="28"/>
      <c r="E468" s="28"/>
      <c r="F468" s="28"/>
      <c r="G468" s="29"/>
      <c r="H468" s="28"/>
      <c r="I468" s="28"/>
      <c r="J468" s="28"/>
      <c r="K468" s="29"/>
      <c r="L468" s="28"/>
      <c r="M468" s="28"/>
      <c r="N468" s="28"/>
      <c r="O468" s="28"/>
      <c r="P468" s="29"/>
      <c r="Q468" s="28"/>
      <c r="R468" s="28"/>
      <c r="S468" s="28"/>
      <c r="T468" s="29"/>
      <c r="U468" s="28"/>
      <c r="V468" s="28"/>
      <c r="W468" s="28"/>
      <c r="X468" s="28"/>
      <c r="Y468" s="29"/>
      <c r="Z468" s="28"/>
      <c r="AA468" s="28"/>
      <c r="AB468" s="22"/>
      <c r="AC468" s="29"/>
      <c r="AD468" s="28"/>
      <c r="AE468" s="28"/>
      <c r="AF468" s="22"/>
      <c r="AG468" s="29"/>
    </row>
    <row r="469" spans="1:33" ht="18" x14ac:dyDescent="0.2">
      <c r="A469" s="70"/>
      <c r="B469" s="27" t="s">
        <v>6</v>
      </c>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row>
    <row r="470" spans="1:33" ht="18" x14ac:dyDescent="0.2">
      <c r="A470" s="70"/>
      <c r="B470" s="27"/>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row>
    <row r="471" spans="1:33" ht="18.75" customHeight="1" x14ac:dyDescent="0.2">
      <c r="A471" s="70" t="s">
        <v>116</v>
      </c>
      <c r="B471" s="27" t="s">
        <v>5</v>
      </c>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2"/>
      <c r="AC471" s="28"/>
      <c r="AD471" s="28"/>
      <c r="AE471" s="28"/>
      <c r="AF471" s="22"/>
      <c r="AG471" s="28"/>
    </row>
    <row r="472" spans="1:33" ht="18" x14ac:dyDescent="0.2">
      <c r="A472" s="70"/>
      <c r="B472" s="27" t="s">
        <v>6</v>
      </c>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row>
    <row r="473" spans="1:33" ht="18" x14ac:dyDescent="0.2">
      <c r="A473" s="70"/>
      <c r="B473" s="27"/>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row>
    <row r="474" spans="1:33" ht="18" x14ac:dyDescent="0.2">
      <c r="A474" s="70" t="s">
        <v>235</v>
      </c>
      <c r="B474" s="27" t="s">
        <v>5</v>
      </c>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2"/>
      <c r="AC474" s="28"/>
      <c r="AD474" s="28"/>
      <c r="AE474" s="28"/>
      <c r="AF474" s="22"/>
      <c r="AG474" s="28"/>
    </row>
    <row r="475" spans="1:33" ht="18" x14ac:dyDescent="0.2">
      <c r="A475" s="70"/>
      <c r="B475" s="27" t="s">
        <v>6</v>
      </c>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row>
    <row r="476" spans="1:33" ht="18" x14ac:dyDescent="0.2">
      <c r="A476" s="70"/>
      <c r="B476" s="27"/>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row>
    <row r="477" spans="1:33" ht="18" x14ac:dyDescent="0.4">
      <c r="A477" s="4" t="s">
        <v>219</v>
      </c>
      <c r="B477" s="4"/>
      <c r="C477" s="4"/>
      <c r="D477" s="4"/>
      <c r="E477" s="4"/>
      <c r="F477" s="4"/>
      <c r="G477" s="4"/>
      <c r="H477" s="4"/>
      <c r="I477" s="4"/>
      <c r="J477" s="4"/>
      <c r="K477" s="4"/>
      <c r="L477" s="4"/>
      <c r="M477" s="4"/>
      <c r="N477" s="4"/>
      <c r="O477" s="4"/>
      <c r="P477" s="4"/>
      <c r="Q477" s="4"/>
      <c r="R477" s="4"/>
      <c r="S477" s="4"/>
      <c r="T477" s="4"/>
      <c r="U477" s="10"/>
      <c r="V477" s="10"/>
      <c r="W477" s="71" t="s">
        <v>186</v>
      </c>
      <c r="X477" s="71"/>
      <c r="Y477" s="71"/>
      <c r="Z477" s="71"/>
      <c r="AA477" s="71"/>
      <c r="AB477" s="71"/>
      <c r="AC477" s="71"/>
      <c r="AD477" s="10"/>
      <c r="AE477" s="10"/>
      <c r="AF477" s="10"/>
      <c r="AG477" s="10"/>
    </row>
    <row r="478" spans="1:33" ht="18" x14ac:dyDescent="0.4">
      <c r="A478" s="7"/>
      <c r="B478" s="7"/>
      <c r="C478" s="7"/>
      <c r="D478" s="7"/>
      <c r="E478" s="7"/>
      <c r="F478" s="7"/>
      <c r="G478" s="7"/>
      <c r="H478" s="7"/>
      <c r="I478" s="7"/>
      <c r="J478" s="7"/>
      <c r="K478" s="7"/>
      <c r="L478" s="7"/>
      <c r="M478" s="7"/>
      <c r="N478" s="7"/>
      <c r="O478" s="7"/>
      <c r="P478" s="7"/>
      <c r="Q478" s="7"/>
      <c r="R478" s="7"/>
      <c r="S478" s="7"/>
      <c r="T478" s="7"/>
      <c r="U478" s="38"/>
      <c r="V478" s="38"/>
      <c r="W478" s="7"/>
      <c r="X478" s="7"/>
      <c r="Y478" s="7"/>
      <c r="Z478" s="7"/>
      <c r="AA478" s="7"/>
      <c r="AB478" s="7"/>
      <c r="AC478" s="7"/>
      <c r="AD478" s="7"/>
      <c r="AE478" s="7"/>
      <c r="AF478" s="7"/>
      <c r="AG478" s="7"/>
    </row>
    <row r="479" spans="1:33" ht="18" x14ac:dyDescent="0.4">
      <c r="A479" s="9"/>
      <c r="B479" s="9"/>
      <c r="C479" s="9"/>
      <c r="D479" s="9"/>
      <c r="E479" s="9"/>
      <c r="F479" s="9"/>
      <c r="G479" s="9"/>
      <c r="H479" s="9"/>
      <c r="I479" s="9"/>
      <c r="J479" s="9"/>
      <c r="K479" s="9"/>
      <c r="L479" s="9"/>
      <c r="M479" s="9"/>
      <c r="N479" s="9"/>
      <c r="O479" s="9"/>
      <c r="P479" s="72" t="s">
        <v>28</v>
      </c>
      <c r="Q479" s="72"/>
      <c r="R479" s="73" t="str">
        <f>IF(R449=0,"",R449)</f>
        <v>พีรวัส</v>
      </c>
      <c r="S479" s="73"/>
      <c r="T479" s="73"/>
      <c r="U479" s="97" t="s">
        <v>221</v>
      </c>
      <c r="V479" s="97"/>
      <c r="W479" s="73" t="str">
        <f>IF(W449=0,"",W449)</f>
        <v>วรพงศ์</v>
      </c>
      <c r="X479" s="73"/>
      <c r="Y479" s="73"/>
      <c r="Z479" s="8" t="s">
        <v>29</v>
      </c>
      <c r="AA479" s="74">
        <f>IF(AA449=0,"",AA449)</f>
        <v>46204</v>
      </c>
      <c r="AB479" s="73"/>
      <c r="AC479" s="73"/>
      <c r="AD479" s="9"/>
      <c r="AE479" s="73"/>
      <c r="AF479" s="73"/>
      <c r="AG479" s="73"/>
    </row>
    <row r="481" spans="1:33" ht="23.25" x14ac:dyDescent="0.5">
      <c r="A481" s="80" t="s">
        <v>210</v>
      </c>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row>
    <row r="482" spans="1:33" ht="21" x14ac:dyDescent="0.45">
      <c r="A482" s="6" t="s">
        <v>22</v>
      </c>
      <c r="B482" s="81" t="s">
        <v>117</v>
      </c>
      <c r="C482" s="81"/>
      <c r="D482" s="81"/>
      <c r="E482" s="81"/>
      <c r="F482" s="81"/>
      <c r="G482" s="81"/>
      <c r="H482" s="6" t="s">
        <v>24</v>
      </c>
      <c r="I482" s="84" t="s">
        <v>118</v>
      </c>
      <c r="J482" s="88"/>
      <c r="K482" s="88"/>
      <c r="L482" s="88"/>
      <c r="M482" s="83" t="s">
        <v>25</v>
      </c>
      <c r="N482" s="83"/>
      <c r="O482" s="81" t="s">
        <v>56</v>
      </c>
      <c r="P482" s="81"/>
      <c r="Q482" s="81"/>
      <c r="R482" s="81"/>
      <c r="S482" s="81"/>
      <c r="T482" s="6" t="s">
        <v>20</v>
      </c>
      <c r="U482" s="101">
        <f>$U$2</f>
        <v>2569</v>
      </c>
      <c r="V482" s="101"/>
      <c r="W482" s="83" t="s">
        <v>35</v>
      </c>
      <c r="X482" s="83"/>
      <c r="Y482" s="83"/>
      <c r="Z482" s="4" t="s">
        <v>284</v>
      </c>
      <c r="AA482" s="1"/>
      <c r="AB482" s="1"/>
      <c r="AC482" s="1"/>
    </row>
    <row r="483" spans="1:33" ht="18.75" customHeight="1" x14ac:dyDescent="0.2">
      <c r="A483" s="20" t="s">
        <v>0</v>
      </c>
      <c r="B483" s="21" t="s">
        <v>2</v>
      </c>
      <c r="C483" s="98" t="str">
        <f>C453</f>
        <v>เดือน กรกฏาคม</v>
      </c>
      <c r="D483" s="99"/>
      <c r="E483" s="99"/>
      <c r="F483" s="99"/>
      <c r="G483" s="99"/>
      <c r="H483" s="99"/>
      <c r="I483" s="99"/>
      <c r="J483" s="99"/>
      <c r="K483" s="99"/>
      <c r="L483" s="99"/>
      <c r="M483" s="99"/>
      <c r="N483" s="99"/>
      <c r="O483" s="99"/>
      <c r="P483" s="99"/>
      <c r="Q483" s="99"/>
      <c r="R483" s="99"/>
      <c r="S483" s="99"/>
      <c r="T483" s="99"/>
      <c r="U483" s="99"/>
      <c r="V483" s="99"/>
      <c r="W483" s="99"/>
      <c r="X483" s="99"/>
      <c r="Y483" s="99"/>
      <c r="Z483" s="99"/>
      <c r="AA483" s="99"/>
      <c r="AB483" s="99"/>
      <c r="AC483" s="99"/>
      <c r="AD483" s="99"/>
      <c r="AE483" s="99"/>
      <c r="AF483" s="99"/>
      <c r="AG483" s="99"/>
    </row>
    <row r="484" spans="1:33" ht="18" x14ac:dyDescent="0.2">
      <c r="A484" s="23" t="s">
        <v>1</v>
      </c>
      <c r="B484" s="24" t="s">
        <v>3</v>
      </c>
      <c r="C484" s="22">
        <f>C454</f>
        <v>1</v>
      </c>
      <c r="D484" s="22">
        <f>D454</f>
        <v>2</v>
      </c>
      <c r="E484" s="22">
        <f t="shared" ref="E484:AG484" si="70">E454</f>
        <v>3</v>
      </c>
      <c r="F484" s="22">
        <f t="shared" si="70"/>
        <v>4</v>
      </c>
      <c r="G484" s="22">
        <f t="shared" si="70"/>
        <v>5</v>
      </c>
      <c r="H484" s="22">
        <f t="shared" si="70"/>
        <v>6</v>
      </c>
      <c r="I484" s="22">
        <f t="shared" si="70"/>
        <v>7</v>
      </c>
      <c r="J484" s="22">
        <f t="shared" si="70"/>
        <v>8</v>
      </c>
      <c r="K484" s="22">
        <f t="shared" si="70"/>
        <v>9</v>
      </c>
      <c r="L484" s="22">
        <f t="shared" si="70"/>
        <v>10</v>
      </c>
      <c r="M484" s="22">
        <f t="shared" si="70"/>
        <v>11</v>
      </c>
      <c r="N484" s="22">
        <f t="shared" si="70"/>
        <v>12</v>
      </c>
      <c r="O484" s="22">
        <f t="shared" si="70"/>
        <v>13</v>
      </c>
      <c r="P484" s="22">
        <f t="shared" si="70"/>
        <v>14</v>
      </c>
      <c r="Q484" s="22">
        <f t="shared" si="70"/>
        <v>15</v>
      </c>
      <c r="R484" s="22">
        <f t="shared" si="70"/>
        <v>16</v>
      </c>
      <c r="S484" s="22">
        <f t="shared" si="70"/>
        <v>17</v>
      </c>
      <c r="T484" s="22">
        <f t="shared" si="70"/>
        <v>18</v>
      </c>
      <c r="U484" s="22">
        <f t="shared" si="70"/>
        <v>19</v>
      </c>
      <c r="V484" s="22">
        <f t="shared" si="70"/>
        <v>20</v>
      </c>
      <c r="W484" s="22">
        <f t="shared" si="70"/>
        <v>21</v>
      </c>
      <c r="X484" s="22">
        <f t="shared" si="70"/>
        <v>22</v>
      </c>
      <c r="Y484" s="22">
        <f t="shared" si="70"/>
        <v>23</v>
      </c>
      <c r="Z484" s="22">
        <f t="shared" si="70"/>
        <v>24</v>
      </c>
      <c r="AA484" s="22">
        <f t="shared" si="70"/>
        <v>25</v>
      </c>
      <c r="AB484" s="22">
        <f t="shared" si="70"/>
        <v>26</v>
      </c>
      <c r="AC484" s="22">
        <f t="shared" si="70"/>
        <v>27</v>
      </c>
      <c r="AD484" s="22">
        <f t="shared" si="70"/>
        <v>28</v>
      </c>
      <c r="AE484" s="22">
        <f t="shared" si="70"/>
        <v>29</v>
      </c>
      <c r="AF484" s="22">
        <f t="shared" si="70"/>
        <v>30</v>
      </c>
      <c r="AG484" s="22">
        <f t="shared" si="70"/>
        <v>31</v>
      </c>
    </row>
    <row r="485" spans="1:33" ht="18" x14ac:dyDescent="0.2">
      <c r="A485" s="25"/>
      <c r="B485" s="26"/>
      <c r="C485" s="22" t="str">
        <f>_xlfn.IFNA(IF(OR(C484="",C484=0),"",(VLOOKUP(B485,'น้ำยา-เครื่อง'!$A:$AF,C484+1,FALSE))),"")</f>
        <v/>
      </c>
      <c r="D485" s="22" t="str">
        <f>_xlfn.IFNA(IF(OR(D484="",D484=0),"",(VLOOKUP(B485,'น้ำยา-เครื่อง'!$A:$AF,D484+1,FALSE))),"")</f>
        <v/>
      </c>
      <c r="E485" s="22" t="str">
        <f>_xlfn.IFNA(IF(OR(E484="",E484=0),"",(VLOOKUP(B485,'น้ำยา-เครื่อง'!$A:$AF,E484+1,FALSE))),"")</f>
        <v/>
      </c>
      <c r="F485" s="22" t="str">
        <f>_xlfn.IFNA(IF(OR(F484="",F484=0),"",(VLOOKUP(B485,'น้ำยา-เครื่อง'!$A:$AF,F484+1,FALSE))),"")</f>
        <v/>
      </c>
      <c r="G485" s="22" t="str">
        <f>_xlfn.IFNA(IF(OR(G484="",G484=0),"",(VLOOKUP(B485,'น้ำยา-เครื่อง'!$A:$AF,G484+1,FALSE))),"")</f>
        <v/>
      </c>
      <c r="H485" s="22" t="str">
        <f>_xlfn.IFNA(IF(OR(H484="",H484=0),"",(VLOOKUP(B485,'น้ำยา-เครื่อง'!$A:$AF,H484+1,FALSE))),"")</f>
        <v/>
      </c>
      <c r="I485" s="22" t="str">
        <f>_xlfn.IFNA(IF(OR(I484="",I484=0),"",(VLOOKUP(B485,'น้ำยา-เครื่อง'!$A:$AF,I484+1,FALSE))),"")</f>
        <v/>
      </c>
      <c r="J485" s="22" t="str">
        <f>_xlfn.IFNA(IF(OR(J484="",J484=0),"",(VLOOKUP(B485,'น้ำยา-เครื่อง'!$A:$AF,J484+1,FALSE))),"")</f>
        <v/>
      </c>
      <c r="K485" s="22" t="str">
        <f>_xlfn.IFNA(IF(OR(K484="",K484=0),"",(VLOOKUP(B485,'น้ำยา-เครื่อง'!$A:$AF,K484+1,FALSE))),"")</f>
        <v/>
      </c>
      <c r="L485" s="22" t="str">
        <f>_xlfn.IFNA(IF(OR(L484="",L484=0),"",(VLOOKUP(B485,'น้ำยา-เครื่อง'!$A:$AF,L484+1,FALSE))),"")</f>
        <v/>
      </c>
      <c r="M485" s="22" t="str">
        <f>_xlfn.IFNA(IF(OR(M484="",M484=0),"",(VLOOKUP(B485,'น้ำยา-เครื่อง'!$A:$AF,M484+1,FALSE))),"")</f>
        <v/>
      </c>
      <c r="N485" s="22" t="str">
        <f>_xlfn.IFNA(IF(OR(N484="",N484=0),"",(VLOOKUP(B485,'น้ำยา-เครื่อง'!$A:$AF,N484+1,FALSE))),"")</f>
        <v/>
      </c>
      <c r="O485" s="22" t="str">
        <f>_xlfn.IFNA(IF(OR(O484="",O484=0),"",(VLOOKUP(B485,'น้ำยา-เครื่อง'!$A:$AF,O484+1,FALSE))),"")</f>
        <v/>
      </c>
      <c r="P485" s="22" t="str">
        <f>_xlfn.IFNA(IF(OR(P484="",P484=0),"",(VLOOKUP(B485,'น้ำยา-เครื่อง'!$A:$AF,P484+1,FALSE))),"")</f>
        <v/>
      </c>
      <c r="Q485" s="22" t="str">
        <f>_xlfn.IFNA(IF(OR(Q484="",Q484=0),"",(VLOOKUP(B485,'น้ำยา-เครื่อง'!$A:$AF,Q484+1,FALSE))),"")</f>
        <v/>
      </c>
      <c r="R485" s="22" t="str">
        <f>_xlfn.IFNA(IF(OR(R484="",R484=0),"",(VLOOKUP(B485,'น้ำยา-เครื่อง'!$A:$AF,R484+1,FALSE))),"")</f>
        <v/>
      </c>
      <c r="S485" s="22" t="str">
        <f>_xlfn.IFNA(IF(OR(S484="",S484=0),"",(VLOOKUP(B485,'น้ำยา-เครื่อง'!$A:$AF,S484+1,FALSE))),"")</f>
        <v/>
      </c>
      <c r="T485" s="22" t="str">
        <f>_xlfn.IFNA(IF(OR(T484="",T484=0),"",(VLOOKUP(B485,'น้ำยา-เครื่อง'!$A:$AF,T484+1,FALSE))),"")</f>
        <v/>
      </c>
      <c r="U485" s="22" t="str">
        <f>_xlfn.IFNA(IF(OR(U484="",U484=0),"",(VLOOKUP(B485,'น้ำยา-เครื่อง'!$A:$AF,U484+1,FALSE))),"")</f>
        <v/>
      </c>
      <c r="V485" s="22" t="str">
        <f>_xlfn.IFNA(IF(OR(V484="",V484=0),"",(VLOOKUP(B485,'น้ำยา-เครื่อง'!$A:$AF,V484+1,FALSE))),"")</f>
        <v/>
      </c>
      <c r="W485" s="22" t="str">
        <f>_xlfn.IFNA(IF(OR(W484="",W484=0),"",(VLOOKUP(B485,'น้ำยา-เครื่อง'!$A:$AF,W484+1,FALSE))),"")</f>
        <v/>
      </c>
      <c r="X485" s="22" t="str">
        <f>_xlfn.IFNA(IF(OR(X484="",X484=0),"",(VLOOKUP(B485,'น้ำยา-เครื่อง'!$A:$AF,X484+1,FALSE))),"")</f>
        <v/>
      </c>
      <c r="Y485" s="22" t="str">
        <f>_xlfn.IFNA(IF(OR(Y484="",Y484=0),"",(VLOOKUP(B485,'น้ำยา-เครื่อง'!$A:$AF,Y484+1,FALSE))),"")</f>
        <v/>
      </c>
      <c r="Z485" s="22" t="str">
        <f>_xlfn.IFNA(IF(OR(Z484="",Z484=0),"",(VLOOKUP(B485,'น้ำยา-เครื่อง'!$A:$AF,Z484+1,FALSE))),"")</f>
        <v/>
      </c>
      <c r="AA485" s="22" t="str">
        <f>_xlfn.IFNA(IF(OR(AA484="",AA484=0),"",(VLOOKUP(B485,'น้ำยา-เครื่อง'!$A:$AF,AA484+1,FALSE))),"")</f>
        <v/>
      </c>
      <c r="AB485" s="22" t="str">
        <f>_xlfn.IFNA(IF(OR(AB484="",AB484=0),"",(VLOOKUP(B485,'น้ำยา-เครื่อง'!$A:$AF,AB484+1,FALSE))),"")</f>
        <v/>
      </c>
      <c r="AC485" s="22" t="str">
        <f>_xlfn.IFNA(IF(OR(AC484="",AC484=0),"",(VLOOKUP(B485,'น้ำยา-เครื่อง'!$A:$AF,AC484+1,FALSE))),"")</f>
        <v/>
      </c>
      <c r="AD485" s="22" t="str">
        <f>_xlfn.IFNA(IF(OR(AD484="",AD484=0),"",(VLOOKUP(B485,'น้ำยา-เครื่อง'!$A:$AF,AD484+1,FALSE))),"")</f>
        <v/>
      </c>
      <c r="AE485" s="22" t="str">
        <f>_xlfn.IFNA(IF(OR(AE484="",AE484=0),"",(VLOOKUP(B485,'น้ำยา-เครื่อง'!$A:$AF,AE484+1,FALSE))),"")</f>
        <v/>
      </c>
      <c r="AF485" s="22" t="str">
        <f>_xlfn.IFNA(IF(OR(AF484="",AF484=0),"",(VLOOKUP(B485,'น้ำยา-เครื่อง'!$A:$AF,AF484+1,FALSE))),"")</f>
        <v/>
      </c>
      <c r="AG485" s="22" t="str">
        <f>_xlfn.IFNA(IF(OR(AG484="",AG484=0),"",(VLOOKUP(B485,'น้ำยา-เครื่อง'!$A:$AF,AG484+1,FALSE))),"")</f>
        <v/>
      </c>
    </row>
    <row r="486" spans="1:33" ht="18.75" customHeight="1" x14ac:dyDescent="0.2">
      <c r="A486" s="100" t="s">
        <v>318</v>
      </c>
      <c r="B486" s="27" t="s">
        <v>5</v>
      </c>
      <c r="C486" s="28"/>
      <c r="D486" s="28"/>
      <c r="E486" s="28"/>
      <c r="F486" s="28"/>
      <c r="G486" s="29"/>
      <c r="H486" s="28"/>
      <c r="I486" s="28"/>
      <c r="J486" s="28"/>
      <c r="K486" s="29"/>
      <c r="L486" s="28"/>
      <c r="M486" s="28"/>
      <c r="N486" s="28"/>
      <c r="O486" s="28"/>
      <c r="P486" s="29"/>
      <c r="Q486" s="28"/>
      <c r="R486" s="28"/>
      <c r="S486" s="28"/>
      <c r="T486" s="29"/>
      <c r="U486" s="28"/>
      <c r="V486" s="28"/>
      <c r="W486" s="28"/>
      <c r="X486" s="28"/>
      <c r="Y486" s="29"/>
      <c r="Z486" s="28"/>
      <c r="AA486" s="28"/>
      <c r="AB486" s="22"/>
      <c r="AC486" s="29"/>
      <c r="AD486" s="28"/>
      <c r="AE486" s="28"/>
      <c r="AF486" s="22"/>
      <c r="AG486" s="29"/>
    </row>
    <row r="487" spans="1:33" ht="18" x14ac:dyDescent="0.2">
      <c r="A487" s="100"/>
      <c r="B487" s="27" t="s">
        <v>6</v>
      </c>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row>
    <row r="488" spans="1:33" ht="18" x14ac:dyDescent="0.2">
      <c r="A488" s="100"/>
      <c r="B488" s="27"/>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row>
    <row r="489" spans="1:33" ht="18.75" customHeight="1" x14ac:dyDescent="0.2">
      <c r="A489" s="100" t="s">
        <v>119</v>
      </c>
      <c r="B489" s="27" t="s">
        <v>5</v>
      </c>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2"/>
      <c r="AC489" s="28"/>
      <c r="AD489" s="28"/>
      <c r="AE489" s="28"/>
      <c r="AF489" s="22"/>
      <c r="AG489" s="28"/>
    </row>
    <row r="490" spans="1:33" ht="18" x14ac:dyDescent="0.2">
      <c r="A490" s="100"/>
      <c r="B490" s="27" t="s">
        <v>6</v>
      </c>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row>
    <row r="491" spans="1:33" ht="18" x14ac:dyDescent="0.2">
      <c r="A491" s="100"/>
      <c r="B491" s="27"/>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row>
    <row r="492" spans="1:33" ht="18" x14ac:dyDescent="0.2">
      <c r="A492" s="100" t="s">
        <v>120</v>
      </c>
      <c r="B492" s="27" t="s">
        <v>5</v>
      </c>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2"/>
      <c r="AC492" s="28"/>
      <c r="AD492" s="28"/>
      <c r="AE492" s="28"/>
      <c r="AF492" s="22"/>
      <c r="AG492" s="28"/>
    </row>
    <row r="493" spans="1:33" ht="18" x14ac:dyDescent="0.2">
      <c r="A493" s="100"/>
      <c r="B493" s="27" t="s">
        <v>6</v>
      </c>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row>
    <row r="494" spans="1:33" ht="18" customHeight="1" x14ac:dyDescent="0.2">
      <c r="A494" s="100"/>
      <c r="B494" s="27"/>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row>
    <row r="495" spans="1:33" ht="18.75" customHeight="1" x14ac:dyDescent="0.2">
      <c r="A495" s="20" t="s">
        <v>0</v>
      </c>
      <c r="B495" s="21" t="s">
        <v>2</v>
      </c>
      <c r="C495" s="98" t="str">
        <f>C465</f>
        <v>เดือน สิงหาคม</v>
      </c>
      <c r="D495" s="99"/>
      <c r="E495" s="99"/>
      <c r="F495" s="99"/>
      <c r="G495" s="99"/>
      <c r="H495" s="99"/>
      <c r="I495" s="99"/>
      <c r="J495" s="99"/>
      <c r="K495" s="99"/>
      <c r="L495" s="99"/>
      <c r="M495" s="99"/>
      <c r="N495" s="99"/>
      <c r="O495" s="99"/>
      <c r="P495" s="99"/>
      <c r="Q495" s="99"/>
      <c r="R495" s="99"/>
      <c r="S495" s="99"/>
      <c r="T495" s="99"/>
      <c r="U495" s="99"/>
      <c r="V495" s="99"/>
      <c r="W495" s="99"/>
      <c r="X495" s="99"/>
      <c r="Y495" s="99"/>
      <c r="Z495" s="99"/>
      <c r="AA495" s="99"/>
      <c r="AB495" s="99"/>
      <c r="AC495" s="99"/>
      <c r="AD495" s="99"/>
      <c r="AE495" s="99"/>
      <c r="AF495" s="99"/>
      <c r="AG495" s="99"/>
    </row>
    <row r="496" spans="1:33" ht="18" x14ac:dyDescent="0.2">
      <c r="A496" s="23" t="s">
        <v>1</v>
      </c>
      <c r="B496" s="24" t="s">
        <v>3</v>
      </c>
      <c r="C496" s="22">
        <f>C466</f>
        <v>1</v>
      </c>
      <c r="D496" s="22">
        <f>D466</f>
        <v>2</v>
      </c>
      <c r="E496" s="22">
        <f t="shared" ref="E496:AG496" si="71">E466</f>
        <v>3</v>
      </c>
      <c r="F496" s="22">
        <f t="shared" si="71"/>
        <v>4</v>
      </c>
      <c r="G496" s="22">
        <f t="shared" si="71"/>
        <v>5</v>
      </c>
      <c r="H496" s="22">
        <f t="shared" si="71"/>
        <v>6</v>
      </c>
      <c r="I496" s="22">
        <f t="shared" si="71"/>
        <v>7</v>
      </c>
      <c r="J496" s="22">
        <f t="shared" si="71"/>
        <v>8</v>
      </c>
      <c r="K496" s="22">
        <f t="shared" si="71"/>
        <v>9</v>
      </c>
      <c r="L496" s="22">
        <f t="shared" si="71"/>
        <v>10</v>
      </c>
      <c r="M496" s="22">
        <f t="shared" si="71"/>
        <v>11</v>
      </c>
      <c r="N496" s="22">
        <f t="shared" si="71"/>
        <v>12</v>
      </c>
      <c r="O496" s="22">
        <f t="shared" si="71"/>
        <v>13</v>
      </c>
      <c r="P496" s="22">
        <f t="shared" si="71"/>
        <v>14</v>
      </c>
      <c r="Q496" s="22">
        <f t="shared" si="71"/>
        <v>15</v>
      </c>
      <c r="R496" s="22">
        <f t="shared" si="71"/>
        <v>16</v>
      </c>
      <c r="S496" s="22">
        <f t="shared" si="71"/>
        <v>17</v>
      </c>
      <c r="T496" s="22">
        <f t="shared" si="71"/>
        <v>18</v>
      </c>
      <c r="U496" s="22">
        <f t="shared" si="71"/>
        <v>19</v>
      </c>
      <c r="V496" s="22">
        <f t="shared" si="71"/>
        <v>20</v>
      </c>
      <c r="W496" s="22">
        <f t="shared" si="71"/>
        <v>21</v>
      </c>
      <c r="X496" s="22">
        <f t="shared" si="71"/>
        <v>22</v>
      </c>
      <c r="Y496" s="22">
        <f t="shared" si="71"/>
        <v>23</v>
      </c>
      <c r="Z496" s="22">
        <f t="shared" si="71"/>
        <v>24</v>
      </c>
      <c r="AA496" s="22">
        <f t="shared" si="71"/>
        <v>25</v>
      </c>
      <c r="AB496" s="22">
        <f t="shared" si="71"/>
        <v>26</v>
      </c>
      <c r="AC496" s="22">
        <f t="shared" si="71"/>
        <v>27</v>
      </c>
      <c r="AD496" s="22">
        <f t="shared" si="71"/>
        <v>28</v>
      </c>
      <c r="AE496" s="22">
        <f t="shared" si="71"/>
        <v>29</v>
      </c>
      <c r="AF496" s="22">
        <f t="shared" si="71"/>
        <v>30</v>
      </c>
      <c r="AG496" s="22">
        <f t="shared" si="71"/>
        <v>0</v>
      </c>
    </row>
    <row r="497" spans="1:33" ht="18" x14ac:dyDescent="0.2">
      <c r="A497" s="25"/>
      <c r="B497" s="26"/>
      <c r="C497" s="22" t="str">
        <f>_xlfn.IFNA(IF(OR(C496="",C496=0),"",(VLOOKUP($B497,'น้ำยา-เครื่อง'!$A$14:$AF$23,C496+1,FALSE))),"")</f>
        <v/>
      </c>
      <c r="D497" s="22" t="str">
        <f>_xlfn.IFNA(IF(OR(D496="",D496=0),"",(VLOOKUP($B497,'น้ำยา-เครื่อง'!$A$14:$AF$23,D496+1,FALSE))),"")</f>
        <v/>
      </c>
      <c r="E497" s="22" t="str">
        <f>_xlfn.IFNA(IF(OR(E496="",E496=0),"",(VLOOKUP($B497,'น้ำยา-เครื่อง'!$A$14:$AF$23,E496+1,FALSE))),"")</f>
        <v/>
      </c>
      <c r="F497" s="22" t="str">
        <f>_xlfn.IFNA(IF(OR(F496="",F496=0),"",(VLOOKUP($B497,'น้ำยา-เครื่อง'!$A$14:$AF$23,F496+1,FALSE))),"")</f>
        <v/>
      </c>
      <c r="G497" s="22" t="str">
        <f>_xlfn.IFNA(IF(OR(G496="",G496=0),"",(VLOOKUP($B497,'น้ำยา-เครื่อง'!$A$14:$AF$23,G496+1,FALSE))),"")</f>
        <v/>
      </c>
      <c r="H497" s="22" t="str">
        <f>_xlfn.IFNA(IF(OR(H496="",H496=0),"",(VLOOKUP($B497,'น้ำยา-เครื่อง'!$A$14:$AF$23,H496+1,FALSE))),"")</f>
        <v/>
      </c>
      <c r="I497" s="22" t="str">
        <f>_xlfn.IFNA(IF(OR(I496="",I496=0),"",(VLOOKUP($B497,'น้ำยา-เครื่อง'!$A$14:$AF$23,I496+1,FALSE))),"")</f>
        <v/>
      </c>
      <c r="J497" s="22" t="str">
        <f>_xlfn.IFNA(IF(OR(J496="",J496=0),"",(VLOOKUP($B497,'น้ำยา-เครื่อง'!$A$14:$AF$23,J496+1,FALSE))),"")</f>
        <v/>
      </c>
      <c r="K497" s="22" t="str">
        <f>_xlfn.IFNA(IF(OR(K496="",K496=0),"",(VLOOKUP($B497,'น้ำยา-เครื่อง'!$A$14:$AF$23,K496+1,FALSE))),"")</f>
        <v/>
      </c>
      <c r="L497" s="22" t="str">
        <f>_xlfn.IFNA(IF(OR(L496="",L496=0),"",(VLOOKUP($B497,'น้ำยา-เครื่อง'!$A$14:$AF$23,L496+1,FALSE))),"")</f>
        <v/>
      </c>
      <c r="M497" s="22" t="str">
        <f>_xlfn.IFNA(IF(OR(M496="",M496=0),"",(VLOOKUP($B497,'น้ำยา-เครื่อง'!$A$14:$AF$23,M496+1,FALSE))),"")</f>
        <v/>
      </c>
      <c r="N497" s="22" t="str">
        <f>_xlfn.IFNA(IF(OR(N496="",N496=0),"",(VLOOKUP($B497,'น้ำยา-เครื่อง'!$A$14:$AF$23,N496+1,FALSE))),"")</f>
        <v/>
      </c>
      <c r="O497" s="22" t="str">
        <f>_xlfn.IFNA(IF(OR(O496="",O496=0),"",(VLOOKUP($B497,'น้ำยา-เครื่อง'!$A$14:$AF$23,O496+1,FALSE))),"")</f>
        <v/>
      </c>
      <c r="P497" s="22" t="str">
        <f>_xlfn.IFNA(IF(OR(P496="",P496=0),"",(VLOOKUP($B497,'น้ำยา-เครื่อง'!$A$14:$AF$23,P496+1,FALSE))),"")</f>
        <v/>
      </c>
      <c r="Q497" s="22" t="str">
        <f>_xlfn.IFNA(IF(OR(Q496="",Q496=0),"",(VLOOKUP($B497,'น้ำยา-เครื่อง'!$A$14:$AF$23,Q496+1,FALSE))),"")</f>
        <v/>
      </c>
      <c r="R497" s="22" t="str">
        <f>_xlfn.IFNA(IF(OR(R496="",R496=0),"",(VLOOKUP($B497,'น้ำยา-เครื่อง'!$A$14:$AF$23,R496+1,FALSE))),"")</f>
        <v/>
      </c>
      <c r="S497" s="22" t="str">
        <f>_xlfn.IFNA(IF(OR(S496="",S496=0),"",(VLOOKUP($B497,'น้ำยา-เครื่อง'!$A$14:$AF$23,S496+1,FALSE))),"")</f>
        <v/>
      </c>
      <c r="T497" s="22" t="str">
        <f>_xlfn.IFNA(IF(OR(T496="",T496=0),"",(VLOOKUP($B497,'น้ำยา-เครื่อง'!$A$14:$AF$23,T496+1,FALSE))),"")</f>
        <v/>
      </c>
      <c r="U497" s="22" t="str">
        <f>_xlfn.IFNA(IF(OR(U496="",U496=0),"",(VLOOKUP($B497,'น้ำยา-เครื่อง'!$A$14:$AF$23,U496+1,FALSE))),"")</f>
        <v/>
      </c>
      <c r="V497" s="22" t="str">
        <f>_xlfn.IFNA(IF(OR(V496="",V496=0),"",(VLOOKUP($B497,'น้ำยา-เครื่อง'!$A$14:$AF$23,V496+1,FALSE))),"")</f>
        <v/>
      </c>
      <c r="W497" s="22" t="str">
        <f>_xlfn.IFNA(IF(OR(W496="",W496=0),"",(VLOOKUP($B497,'น้ำยา-เครื่อง'!$A$14:$AF$23,W496+1,FALSE))),"")</f>
        <v/>
      </c>
      <c r="X497" s="22" t="str">
        <f>_xlfn.IFNA(IF(OR(X496="",X496=0),"",(VLOOKUP($B497,'น้ำยา-เครื่อง'!$A$14:$AF$23,X496+1,FALSE))),"")</f>
        <v/>
      </c>
      <c r="Y497" s="22" t="str">
        <f>_xlfn.IFNA(IF(OR(Y496="",Y496=0),"",(VLOOKUP($B497,'น้ำยา-เครื่อง'!$A$14:$AF$23,Y496+1,FALSE))),"")</f>
        <v/>
      </c>
      <c r="Z497" s="22" t="str">
        <f>_xlfn.IFNA(IF(OR(Z496="",Z496=0),"",(VLOOKUP($B497,'น้ำยา-เครื่อง'!$A$14:$AF$23,Z496+1,FALSE))),"")</f>
        <v/>
      </c>
      <c r="AA497" s="22" t="str">
        <f>_xlfn.IFNA(IF(OR(AA496="",AA496=0),"",(VLOOKUP($B497,'น้ำยา-เครื่อง'!$A$14:$AF$23,AA496+1,FALSE))),"")</f>
        <v/>
      </c>
      <c r="AB497" s="22" t="str">
        <f>_xlfn.IFNA(IF(OR(AB496="",AB496=0),"",(VLOOKUP($B497,'น้ำยา-เครื่อง'!$A$14:$AF$23,AB496+1,FALSE))),"")</f>
        <v/>
      </c>
      <c r="AC497" s="22" t="str">
        <f>_xlfn.IFNA(IF(OR(AC496="",AC496=0),"",(VLOOKUP($B497,'น้ำยา-เครื่อง'!$A$14:$AF$23,AC496+1,FALSE))),"")</f>
        <v/>
      </c>
      <c r="AD497" s="22" t="str">
        <f>_xlfn.IFNA(IF(OR(AD496="",AD496=0),"",(VLOOKUP($B497,'น้ำยา-เครื่อง'!$A$14:$AF$23,AD496+1,FALSE))),"")</f>
        <v/>
      </c>
      <c r="AE497" s="22" t="str">
        <f>_xlfn.IFNA(IF(OR(AE496="",AE496=0),"",(VLOOKUP($B497,'น้ำยา-เครื่อง'!$A$14:$AF$23,AE496+1,FALSE))),"")</f>
        <v/>
      </c>
      <c r="AF497" s="22" t="str">
        <f>_xlfn.IFNA(IF(OR(AF496="",AF496=0),"",(VLOOKUP($B497,'น้ำยา-เครื่อง'!$A$14:$AF$23,AF496+1,FALSE))),"")</f>
        <v/>
      </c>
      <c r="AG497" s="22" t="str">
        <f>_xlfn.IFNA(IF(OR(AG496="",AG496=0),"",(VLOOKUP($B497,'น้ำยา-เครื่อง'!$A$14:$AF$23,AG496+1,FALSE))),"")</f>
        <v/>
      </c>
    </row>
    <row r="498" spans="1:33" ht="18.75" customHeight="1" x14ac:dyDescent="0.2">
      <c r="A498" s="100" t="s">
        <v>318</v>
      </c>
      <c r="B498" s="27" t="s">
        <v>5</v>
      </c>
      <c r="C498" s="28"/>
      <c r="D498" s="28"/>
      <c r="E498" s="28"/>
      <c r="F498" s="28"/>
      <c r="G498" s="29"/>
      <c r="H498" s="28"/>
      <c r="I498" s="28"/>
      <c r="J498" s="28"/>
      <c r="K498" s="29"/>
      <c r="L498" s="28"/>
      <c r="M498" s="28"/>
      <c r="N498" s="28"/>
      <c r="O498" s="28"/>
      <c r="P498" s="29"/>
      <c r="Q498" s="28"/>
      <c r="R498" s="28"/>
      <c r="S498" s="28"/>
      <c r="T498" s="29"/>
      <c r="U498" s="28"/>
      <c r="V498" s="28"/>
      <c r="W498" s="28"/>
      <c r="X498" s="28"/>
      <c r="Y498" s="29"/>
      <c r="Z498" s="28"/>
      <c r="AA498" s="28"/>
      <c r="AB498" s="22"/>
      <c r="AC498" s="29"/>
      <c r="AD498" s="28"/>
      <c r="AE498" s="28"/>
      <c r="AF498" s="22"/>
      <c r="AG498" s="29"/>
    </row>
    <row r="499" spans="1:33" ht="18" x14ac:dyDescent="0.2">
      <c r="A499" s="100"/>
      <c r="B499" s="27" t="s">
        <v>6</v>
      </c>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row>
    <row r="500" spans="1:33" ht="18" x14ac:dyDescent="0.2">
      <c r="A500" s="100"/>
      <c r="B500" s="27"/>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row>
    <row r="501" spans="1:33" ht="18.75" customHeight="1" x14ac:dyDescent="0.2">
      <c r="A501" s="100" t="s">
        <v>119</v>
      </c>
      <c r="B501" s="27" t="s">
        <v>5</v>
      </c>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2"/>
      <c r="AC501" s="28"/>
      <c r="AD501" s="28"/>
      <c r="AE501" s="28"/>
      <c r="AF501" s="22"/>
      <c r="AG501" s="28"/>
    </row>
    <row r="502" spans="1:33" ht="18" x14ac:dyDescent="0.2">
      <c r="A502" s="100"/>
      <c r="B502" s="27" t="s">
        <v>6</v>
      </c>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row>
    <row r="503" spans="1:33" ht="18" x14ac:dyDescent="0.2">
      <c r="A503" s="100"/>
      <c r="B503" s="27"/>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row>
    <row r="504" spans="1:33" ht="18" customHeight="1" x14ac:dyDescent="0.2">
      <c r="A504" s="100" t="s">
        <v>120</v>
      </c>
      <c r="B504" s="27" t="s">
        <v>5</v>
      </c>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2"/>
      <c r="AC504" s="28"/>
      <c r="AD504" s="28"/>
      <c r="AE504" s="28"/>
      <c r="AF504" s="22"/>
      <c r="AG504" s="28"/>
    </row>
    <row r="505" spans="1:33" ht="18" x14ac:dyDescent="0.2">
      <c r="A505" s="100"/>
      <c r="B505" s="27" t="s">
        <v>6</v>
      </c>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row>
    <row r="506" spans="1:33" ht="18" x14ac:dyDescent="0.2">
      <c r="A506" s="100"/>
      <c r="B506" s="27"/>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row>
    <row r="507" spans="1:33" ht="18" x14ac:dyDescent="0.4">
      <c r="A507" s="4" t="s">
        <v>219</v>
      </c>
      <c r="B507" s="4"/>
      <c r="C507" s="4"/>
      <c r="D507" s="4"/>
      <c r="E507" s="4"/>
      <c r="F507" s="4"/>
      <c r="G507" s="4"/>
      <c r="H507" s="4"/>
      <c r="I507" s="4"/>
      <c r="J507" s="4"/>
      <c r="K507" s="4"/>
      <c r="L507" s="4"/>
      <c r="M507" s="4"/>
      <c r="N507" s="4"/>
      <c r="O507" s="4"/>
      <c r="P507" s="4"/>
      <c r="Q507" s="4"/>
      <c r="R507" s="4"/>
      <c r="S507" s="4"/>
      <c r="T507" s="4"/>
      <c r="U507" s="10"/>
      <c r="V507" s="10"/>
      <c r="W507" s="71" t="s">
        <v>186</v>
      </c>
      <c r="X507" s="71"/>
      <c r="Y507" s="71"/>
      <c r="Z507" s="71"/>
      <c r="AA507" s="71"/>
      <c r="AB507" s="71"/>
      <c r="AC507" s="71"/>
      <c r="AD507" s="10"/>
      <c r="AE507" s="10"/>
      <c r="AF507" s="10"/>
      <c r="AG507" s="10"/>
    </row>
    <row r="508" spans="1:33" ht="18" x14ac:dyDescent="0.4">
      <c r="A508" s="7"/>
      <c r="B508" s="7"/>
      <c r="C508" s="7"/>
      <c r="D508" s="7"/>
      <c r="E508" s="7"/>
      <c r="F508" s="7"/>
      <c r="G508" s="7"/>
      <c r="H508" s="7"/>
      <c r="I508" s="7"/>
      <c r="J508" s="7"/>
      <c r="K508" s="7"/>
      <c r="L508" s="7"/>
      <c r="M508" s="7"/>
      <c r="N508" s="7"/>
      <c r="O508" s="7"/>
      <c r="P508" s="7"/>
      <c r="Q508" s="7"/>
      <c r="R508" s="7"/>
      <c r="S508" s="7"/>
      <c r="T508" s="7"/>
      <c r="U508" s="38"/>
      <c r="V508" s="38"/>
      <c r="W508" s="7"/>
      <c r="X508" s="7"/>
      <c r="Y508" s="7"/>
      <c r="Z508" s="7"/>
      <c r="AA508" s="7"/>
      <c r="AB508" s="7"/>
      <c r="AC508" s="7"/>
      <c r="AD508" s="7"/>
      <c r="AE508" s="7"/>
      <c r="AF508" s="7"/>
      <c r="AG508" s="7"/>
    </row>
    <row r="509" spans="1:33" ht="18" x14ac:dyDescent="0.4">
      <c r="A509" s="9"/>
      <c r="B509" s="9"/>
      <c r="C509" s="9"/>
      <c r="D509" s="9"/>
      <c r="E509" s="9"/>
      <c r="F509" s="9"/>
      <c r="G509" s="9"/>
      <c r="H509" s="9"/>
      <c r="I509" s="9"/>
      <c r="J509" s="9"/>
      <c r="K509" s="9"/>
      <c r="L509" s="9"/>
      <c r="M509" s="9"/>
      <c r="N509" s="9"/>
      <c r="O509" s="9"/>
      <c r="P509" s="72" t="s">
        <v>28</v>
      </c>
      <c r="Q509" s="72"/>
      <c r="R509" s="73" t="str">
        <f>IF(R479=0,"",R479)</f>
        <v>พีรวัส</v>
      </c>
      <c r="S509" s="73"/>
      <c r="T509" s="73"/>
      <c r="U509" s="97" t="s">
        <v>221</v>
      </c>
      <c r="V509" s="97"/>
      <c r="W509" s="73" t="str">
        <f>IF(W479=0,"",W479)</f>
        <v>วรพงศ์</v>
      </c>
      <c r="X509" s="73"/>
      <c r="Y509" s="73"/>
      <c r="Z509" s="8" t="s">
        <v>29</v>
      </c>
      <c r="AA509" s="74">
        <f>IF(AA479=0,"",AA479)</f>
        <v>46204</v>
      </c>
      <c r="AB509" s="73"/>
      <c r="AC509" s="73"/>
      <c r="AD509" s="9"/>
      <c r="AE509" s="73"/>
      <c r="AF509" s="73"/>
      <c r="AG509" s="73"/>
    </row>
    <row r="511" spans="1:33" ht="23.25" hidden="1" x14ac:dyDescent="0.5">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c r="AA511" s="80"/>
      <c r="AB511" s="80"/>
      <c r="AC511" s="80"/>
      <c r="AD511" s="80"/>
      <c r="AE511" s="80"/>
      <c r="AF511" s="80"/>
      <c r="AG511" s="80"/>
    </row>
    <row r="512" spans="1:33" ht="21" hidden="1" x14ac:dyDescent="0.45">
      <c r="A512" s="6"/>
      <c r="B512" s="81"/>
      <c r="C512" s="81"/>
      <c r="D512" s="81"/>
      <c r="E512" s="81"/>
      <c r="F512" s="81"/>
      <c r="G512" s="81"/>
      <c r="H512" s="6"/>
      <c r="I512" s="84"/>
      <c r="J512" s="88"/>
      <c r="K512" s="88"/>
      <c r="L512" s="88"/>
      <c r="M512" s="83"/>
      <c r="N512" s="83"/>
      <c r="O512" s="81"/>
      <c r="P512" s="81"/>
      <c r="Q512" s="81"/>
      <c r="R512" s="81"/>
      <c r="S512" s="81"/>
      <c r="T512" s="6"/>
      <c r="U512" s="101"/>
      <c r="V512" s="101"/>
      <c r="W512" s="83"/>
      <c r="X512" s="83"/>
      <c r="Y512" s="83"/>
      <c r="Z512" s="4"/>
      <c r="AA512" s="1"/>
      <c r="AB512" s="1"/>
      <c r="AC512" s="1"/>
    </row>
    <row r="513" spans="1:33" ht="18.75" hidden="1" customHeight="1" x14ac:dyDescent="0.2">
      <c r="A513" s="20"/>
      <c r="B513" s="21"/>
      <c r="C513" s="98"/>
      <c r="D513" s="99"/>
      <c r="E513" s="99"/>
      <c r="F513" s="99"/>
      <c r="G513" s="99"/>
      <c r="H513" s="99"/>
      <c r="I513" s="99"/>
      <c r="J513" s="99"/>
      <c r="K513" s="99"/>
      <c r="L513" s="99"/>
      <c r="M513" s="99"/>
      <c r="N513" s="99"/>
      <c r="O513" s="99"/>
      <c r="P513" s="99"/>
      <c r="Q513" s="99"/>
      <c r="R513" s="99"/>
      <c r="S513" s="99"/>
      <c r="T513" s="99"/>
      <c r="U513" s="99"/>
      <c r="V513" s="99"/>
      <c r="W513" s="99"/>
      <c r="X513" s="99"/>
      <c r="Y513" s="99"/>
      <c r="Z513" s="99"/>
      <c r="AA513" s="99"/>
      <c r="AB513" s="99"/>
      <c r="AC513" s="99"/>
      <c r="AD513" s="99"/>
      <c r="AE513" s="99"/>
      <c r="AF513" s="99"/>
      <c r="AG513" s="99"/>
    </row>
    <row r="514" spans="1:33" ht="18" hidden="1" x14ac:dyDescent="0.2">
      <c r="A514" s="23"/>
      <c r="B514" s="24"/>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row>
    <row r="515" spans="1:33" ht="18" hidden="1" x14ac:dyDescent="0.2">
      <c r="A515" s="25"/>
      <c r="B515" s="26"/>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row>
    <row r="516" spans="1:33" ht="18.75" hidden="1" customHeight="1" x14ac:dyDescent="0.2">
      <c r="A516" s="100"/>
      <c r="B516" s="27"/>
      <c r="C516" s="28"/>
      <c r="D516" s="28"/>
      <c r="E516" s="28"/>
      <c r="F516" s="28"/>
      <c r="G516" s="29"/>
      <c r="H516" s="28"/>
      <c r="I516" s="28"/>
      <c r="J516" s="28"/>
      <c r="K516" s="29"/>
      <c r="L516" s="28"/>
      <c r="M516" s="28"/>
      <c r="N516" s="28"/>
      <c r="O516" s="28"/>
      <c r="P516" s="29"/>
      <c r="Q516" s="28"/>
      <c r="R516" s="28"/>
      <c r="S516" s="28"/>
      <c r="T516" s="29"/>
      <c r="U516" s="28"/>
      <c r="V516" s="28"/>
      <c r="W516" s="28"/>
      <c r="X516" s="28"/>
      <c r="Y516" s="29"/>
      <c r="Z516" s="28"/>
      <c r="AA516" s="28"/>
      <c r="AB516" s="22"/>
      <c r="AC516" s="29"/>
      <c r="AD516" s="28"/>
      <c r="AE516" s="28"/>
      <c r="AF516" s="22"/>
      <c r="AG516" s="29"/>
    </row>
    <row r="517" spans="1:33" ht="18" hidden="1" x14ac:dyDescent="0.2">
      <c r="A517" s="100"/>
      <c r="B517" s="27"/>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row>
    <row r="518" spans="1:33" ht="18" hidden="1" x14ac:dyDescent="0.2">
      <c r="A518" s="100"/>
      <c r="B518" s="27"/>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row>
    <row r="519" spans="1:33" ht="18.75" hidden="1" customHeight="1" x14ac:dyDescent="0.2">
      <c r="A519" s="100"/>
      <c r="B519" s="27"/>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2"/>
      <c r="AC519" s="28"/>
      <c r="AD519" s="28"/>
      <c r="AE519" s="28"/>
      <c r="AF519" s="22"/>
      <c r="AG519" s="28"/>
    </row>
    <row r="520" spans="1:33" ht="18" hidden="1" x14ac:dyDescent="0.2">
      <c r="A520" s="100"/>
      <c r="B520" s="27"/>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row>
    <row r="521" spans="1:33" ht="18" hidden="1" x14ac:dyDescent="0.2">
      <c r="A521" s="100"/>
      <c r="B521" s="27"/>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row>
    <row r="522" spans="1:33" ht="18" hidden="1" x14ac:dyDescent="0.2">
      <c r="A522" s="100"/>
      <c r="B522" s="27"/>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2"/>
      <c r="AC522" s="28"/>
      <c r="AD522" s="28"/>
      <c r="AE522" s="28"/>
      <c r="AF522" s="22"/>
      <c r="AG522" s="28"/>
    </row>
    <row r="523" spans="1:33" ht="18" hidden="1" x14ac:dyDescent="0.2">
      <c r="A523" s="100"/>
      <c r="B523" s="27"/>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row>
    <row r="524" spans="1:33" ht="18" hidden="1" x14ac:dyDescent="0.2">
      <c r="A524" s="100"/>
      <c r="B524" s="27"/>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row>
    <row r="525" spans="1:33" ht="18.75" hidden="1" customHeight="1" x14ac:dyDescent="0.2">
      <c r="A525" s="20"/>
      <c r="B525" s="21"/>
      <c r="C525" s="98"/>
      <c r="D525" s="99"/>
      <c r="E525" s="99"/>
      <c r="F525" s="99"/>
      <c r="G525" s="99"/>
      <c r="H525" s="99"/>
      <c r="I525" s="99"/>
      <c r="J525" s="99"/>
      <c r="K525" s="99"/>
      <c r="L525" s="99"/>
      <c r="M525" s="99"/>
      <c r="N525" s="99"/>
      <c r="O525" s="99"/>
      <c r="P525" s="99"/>
      <c r="Q525" s="99"/>
      <c r="R525" s="99"/>
      <c r="S525" s="99"/>
      <c r="T525" s="99"/>
      <c r="U525" s="99"/>
      <c r="V525" s="99"/>
      <c r="W525" s="99"/>
      <c r="X525" s="99"/>
      <c r="Y525" s="99"/>
      <c r="Z525" s="99"/>
      <c r="AA525" s="99"/>
      <c r="AB525" s="99"/>
      <c r="AC525" s="99"/>
      <c r="AD525" s="99"/>
      <c r="AE525" s="99"/>
      <c r="AF525" s="99"/>
      <c r="AG525" s="99"/>
    </row>
    <row r="526" spans="1:33" ht="18" hidden="1" x14ac:dyDescent="0.2">
      <c r="A526" s="23"/>
      <c r="B526" s="24"/>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row>
    <row r="527" spans="1:33" ht="18" hidden="1" x14ac:dyDescent="0.2">
      <c r="A527" s="25"/>
      <c r="B527" s="26"/>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row>
    <row r="528" spans="1:33" ht="18.75" hidden="1" customHeight="1" x14ac:dyDescent="0.2">
      <c r="A528" s="100"/>
      <c r="B528" s="27"/>
      <c r="C528" s="28"/>
      <c r="D528" s="28"/>
      <c r="E528" s="28"/>
      <c r="F528" s="28"/>
      <c r="G528" s="29"/>
      <c r="H528" s="28"/>
      <c r="I528" s="28"/>
      <c r="J528" s="28"/>
      <c r="K528" s="29"/>
      <c r="L528" s="28"/>
      <c r="M528" s="28"/>
      <c r="N528" s="28"/>
      <c r="O528" s="28"/>
      <c r="P528" s="29"/>
      <c r="Q528" s="28"/>
      <c r="R528" s="28"/>
      <c r="S528" s="28"/>
      <c r="T528" s="29"/>
      <c r="U528" s="28"/>
      <c r="V528" s="28"/>
      <c r="W528" s="28"/>
      <c r="X528" s="28"/>
      <c r="Y528" s="29"/>
      <c r="Z528" s="28"/>
      <c r="AA528" s="28"/>
      <c r="AB528" s="22"/>
      <c r="AC528" s="29"/>
      <c r="AD528" s="28"/>
      <c r="AE528" s="28"/>
      <c r="AF528" s="22"/>
      <c r="AG528" s="29"/>
    </row>
    <row r="529" spans="1:33" ht="18" hidden="1" x14ac:dyDescent="0.2">
      <c r="A529" s="100"/>
      <c r="B529" s="27"/>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row>
    <row r="530" spans="1:33" ht="18" hidden="1" x14ac:dyDescent="0.2">
      <c r="A530" s="100"/>
      <c r="B530" s="27"/>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row>
    <row r="531" spans="1:33" ht="18.75" hidden="1" customHeight="1" x14ac:dyDescent="0.2">
      <c r="A531" s="100"/>
      <c r="B531" s="27"/>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2"/>
      <c r="AC531" s="28"/>
      <c r="AD531" s="28"/>
      <c r="AE531" s="28"/>
      <c r="AF531" s="22"/>
      <c r="AG531" s="28"/>
    </row>
    <row r="532" spans="1:33" ht="18" hidden="1" x14ac:dyDescent="0.2">
      <c r="A532" s="100"/>
      <c r="B532" s="27"/>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row>
    <row r="533" spans="1:33" ht="18" hidden="1" x14ac:dyDescent="0.2">
      <c r="A533" s="100"/>
      <c r="B533" s="27"/>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row>
    <row r="534" spans="1:33" ht="18.75" hidden="1" customHeight="1" x14ac:dyDescent="0.2">
      <c r="A534" s="100"/>
      <c r="B534" s="27"/>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2"/>
      <c r="AC534" s="28"/>
      <c r="AD534" s="28"/>
      <c r="AE534" s="28"/>
      <c r="AF534" s="22"/>
      <c r="AG534" s="28"/>
    </row>
    <row r="535" spans="1:33" ht="18" hidden="1" x14ac:dyDescent="0.2">
      <c r="A535" s="100"/>
      <c r="B535" s="27"/>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row>
    <row r="536" spans="1:33" ht="18" hidden="1" x14ac:dyDescent="0.2">
      <c r="A536" s="100"/>
      <c r="B536" s="27"/>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row>
    <row r="537" spans="1:33" ht="18" hidden="1" x14ac:dyDescent="0.4">
      <c r="A537" s="4"/>
      <c r="B537" s="4"/>
      <c r="C537" s="4"/>
      <c r="D537" s="4"/>
      <c r="E537" s="4"/>
      <c r="F537" s="4"/>
      <c r="G537" s="4"/>
      <c r="H537" s="4"/>
      <c r="I537" s="4"/>
      <c r="J537" s="4"/>
      <c r="K537" s="4"/>
      <c r="L537" s="4"/>
      <c r="M537" s="4"/>
      <c r="N537" s="4"/>
      <c r="O537" s="4"/>
      <c r="P537" s="4"/>
      <c r="Q537" s="4"/>
      <c r="R537" s="4"/>
      <c r="S537" s="4"/>
      <c r="T537" s="4"/>
      <c r="U537" s="10"/>
      <c r="V537" s="10"/>
      <c r="W537" s="71"/>
      <c r="X537" s="71"/>
      <c r="Y537" s="71"/>
      <c r="Z537" s="71"/>
      <c r="AA537" s="71"/>
      <c r="AB537" s="71"/>
      <c r="AC537" s="71"/>
      <c r="AD537" s="10"/>
      <c r="AE537" s="10"/>
      <c r="AF537" s="10"/>
      <c r="AG537" s="10"/>
    </row>
    <row r="538" spans="1:33" ht="18" hidden="1" x14ac:dyDescent="0.4">
      <c r="A538" s="7"/>
      <c r="B538" s="7"/>
      <c r="C538" s="7"/>
      <c r="D538" s="7"/>
      <c r="E538" s="7"/>
      <c r="F538" s="7"/>
      <c r="G538" s="7"/>
      <c r="H538" s="7"/>
      <c r="I538" s="7"/>
      <c r="J538" s="7"/>
      <c r="K538" s="7"/>
      <c r="L538" s="7"/>
      <c r="M538" s="7"/>
      <c r="N538" s="7"/>
      <c r="O538" s="7"/>
      <c r="P538" s="7"/>
      <c r="Q538" s="7"/>
      <c r="R538" s="7"/>
      <c r="S538" s="7"/>
      <c r="T538" s="7"/>
      <c r="U538" s="38"/>
      <c r="V538" s="38"/>
      <c r="W538" s="7"/>
      <c r="X538" s="7"/>
      <c r="Y538" s="7"/>
      <c r="Z538" s="7"/>
      <c r="AA538" s="7"/>
      <c r="AB538" s="7"/>
      <c r="AC538" s="7"/>
      <c r="AD538" s="7"/>
      <c r="AE538" s="7"/>
      <c r="AF538" s="7"/>
      <c r="AG538" s="7"/>
    </row>
    <row r="539" spans="1:33" ht="18" hidden="1" x14ac:dyDescent="0.4">
      <c r="A539" s="9"/>
      <c r="B539" s="9"/>
      <c r="C539" s="9"/>
      <c r="D539" s="9"/>
      <c r="E539" s="9"/>
      <c r="F539" s="9"/>
      <c r="G539" s="9"/>
      <c r="H539" s="9"/>
      <c r="I539" s="9"/>
      <c r="J539" s="9"/>
      <c r="K539" s="9"/>
      <c r="L539" s="9"/>
      <c r="M539" s="9"/>
      <c r="N539" s="9"/>
      <c r="O539" s="9"/>
      <c r="P539" s="72"/>
      <c r="Q539" s="72"/>
      <c r="R539" s="73"/>
      <c r="S539" s="73"/>
      <c r="T539" s="73"/>
      <c r="U539" s="97"/>
      <c r="V539" s="97"/>
      <c r="W539" s="73"/>
      <c r="X539" s="73"/>
      <c r="Y539" s="73"/>
      <c r="Z539" s="8"/>
      <c r="AA539" s="74"/>
      <c r="AB539" s="73"/>
      <c r="AC539" s="73"/>
      <c r="AD539" s="9"/>
      <c r="AE539" s="73"/>
      <c r="AF539" s="73"/>
      <c r="AG539" s="73"/>
    </row>
    <row r="540" spans="1:33" hidden="1" x14ac:dyDescent="0.2"/>
    <row r="541" spans="1:33" ht="23.25" x14ac:dyDescent="0.5">
      <c r="A541" s="80" t="s">
        <v>210</v>
      </c>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c r="AA541" s="80"/>
      <c r="AB541" s="80"/>
      <c r="AC541" s="80"/>
      <c r="AD541" s="80"/>
      <c r="AE541" s="80"/>
      <c r="AF541" s="80"/>
      <c r="AG541" s="80"/>
    </row>
    <row r="542" spans="1:33" ht="21" x14ac:dyDescent="0.45">
      <c r="A542" s="6" t="s">
        <v>22</v>
      </c>
      <c r="B542" s="81" t="s">
        <v>184</v>
      </c>
      <c r="C542" s="81"/>
      <c r="D542" s="81"/>
      <c r="E542" s="81"/>
      <c r="F542" s="81"/>
      <c r="G542" s="81"/>
      <c r="H542" s="6" t="s">
        <v>24</v>
      </c>
      <c r="I542" s="84" t="s">
        <v>185</v>
      </c>
      <c r="J542" s="88"/>
      <c r="K542" s="88"/>
      <c r="L542" s="88"/>
      <c r="M542" s="83" t="s">
        <v>25</v>
      </c>
      <c r="N542" s="83"/>
      <c r="O542" s="81" t="s">
        <v>41</v>
      </c>
      <c r="P542" s="81"/>
      <c r="Q542" s="81"/>
      <c r="R542" s="81"/>
      <c r="S542" s="81"/>
      <c r="T542" s="6" t="s">
        <v>20</v>
      </c>
      <c r="U542" s="101">
        <f>$U$2</f>
        <v>2569</v>
      </c>
      <c r="V542" s="101"/>
      <c r="W542" s="83" t="s">
        <v>35</v>
      </c>
      <c r="X542" s="83"/>
      <c r="Y542" s="83"/>
      <c r="Z542" s="4" t="s">
        <v>137</v>
      </c>
      <c r="AA542" s="1"/>
      <c r="AB542" s="1"/>
      <c r="AC542" s="1"/>
    </row>
    <row r="543" spans="1:33" ht="18.75" customHeight="1" x14ac:dyDescent="0.2">
      <c r="A543" s="20" t="s">
        <v>0</v>
      </c>
      <c r="B543" s="21" t="s">
        <v>2</v>
      </c>
      <c r="C543" s="98" t="str">
        <f>C483</f>
        <v>เดือน กรกฏาคม</v>
      </c>
      <c r="D543" s="99"/>
      <c r="E543" s="99"/>
      <c r="F543" s="99"/>
      <c r="G543" s="99"/>
      <c r="H543" s="99"/>
      <c r="I543" s="99"/>
      <c r="J543" s="99"/>
      <c r="K543" s="99"/>
      <c r="L543" s="99"/>
      <c r="M543" s="99"/>
      <c r="N543" s="99"/>
      <c r="O543" s="99"/>
      <c r="P543" s="99"/>
      <c r="Q543" s="99"/>
      <c r="R543" s="99"/>
      <c r="S543" s="99"/>
      <c r="T543" s="99"/>
      <c r="U543" s="99"/>
      <c r="V543" s="99"/>
      <c r="W543" s="99"/>
      <c r="X543" s="99"/>
      <c r="Y543" s="99"/>
      <c r="Z543" s="99"/>
      <c r="AA543" s="99"/>
      <c r="AB543" s="99"/>
      <c r="AC543" s="99"/>
      <c r="AD543" s="99"/>
      <c r="AE543" s="99"/>
      <c r="AF543" s="99"/>
      <c r="AG543" s="99"/>
    </row>
    <row r="544" spans="1:33" ht="18" x14ac:dyDescent="0.2">
      <c r="A544" s="23" t="s">
        <v>1</v>
      </c>
      <c r="B544" s="24" t="s">
        <v>3</v>
      </c>
      <c r="C544" s="22">
        <f>C484</f>
        <v>1</v>
      </c>
      <c r="D544" s="22">
        <f t="shared" ref="D544:AG544" si="72">D484</f>
        <v>2</v>
      </c>
      <c r="E544" s="22">
        <f t="shared" si="72"/>
        <v>3</v>
      </c>
      <c r="F544" s="22">
        <f t="shared" si="72"/>
        <v>4</v>
      </c>
      <c r="G544" s="22">
        <f t="shared" si="72"/>
        <v>5</v>
      </c>
      <c r="H544" s="22">
        <f t="shared" si="72"/>
        <v>6</v>
      </c>
      <c r="I544" s="22">
        <f t="shared" si="72"/>
        <v>7</v>
      </c>
      <c r="J544" s="22">
        <f t="shared" si="72"/>
        <v>8</v>
      </c>
      <c r="K544" s="22">
        <f t="shared" si="72"/>
        <v>9</v>
      </c>
      <c r="L544" s="22">
        <f t="shared" si="72"/>
        <v>10</v>
      </c>
      <c r="M544" s="22">
        <f t="shared" si="72"/>
        <v>11</v>
      </c>
      <c r="N544" s="22">
        <f t="shared" si="72"/>
        <v>12</v>
      </c>
      <c r="O544" s="22">
        <f t="shared" si="72"/>
        <v>13</v>
      </c>
      <c r="P544" s="22">
        <f t="shared" si="72"/>
        <v>14</v>
      </c>
      <c r="Q544" s="22">
        <f t="shared" si="72"/>
        <v>15</v>
      </c>
      <c r="R544" s="22">
        <f t="shared" si="72"/>
        <v>16</v>
      </c>
      <c r="S544" s="22">
        <f t="shared" si="72"/>
        <v>17</v>
      </c>
      <c r="T544" s="22">
        <f t="shared" si="72"/>
        <v>18</v>
      </c>
      <c r="U544" s="22">
        <f t="shared" si="72"/>
        <v>19</v>
      </c>
      <c r="V544" s="22">
        <f t="shared" si="72"/>
        <v>20</v>
      </c>
      <c r="W544" s="22">
        <f t="shared" si="72"/>
        <v>21</v>
      </c>
      <c r="X544" s="22">
        <f t="shared" si="72"/>
        <v>22</v>
      </c>
      <c r="Y544" s="22">
        <f t="shared" si="72"/>
        <v>23</v>
      </c>
      <c r="Z544" s="22">
        <f t="shared" si="72"/>
        <v>24</v>
      </c>
      <c r="AA544" s="22">
        <f t="shared" si="72"/>
        <v>25</v>
      </c>
      <c r="AB544" s="22">
        <f t="shared" si="72"/>
        <v>26</v>
      </c>
      <c r="AC544" s="22">
        <f t="shared" si="72"/>
        <v>27</v>
      </c>
      <c r="AD544" s="22">
        <f t="shared" si="72"/>
        <v>28</v>
      </c>
      <c r="AE544" s="22">
        <f t="shared" si="72"/>
        <v>29</v>
      </c>
      <c r="AF544" s="22">
        <f t="shared" si="72"/>
        <v>30</v>
      </c>
      <c r="AG544" s="22">
        <f t="shared" si="72"/>
        <v>31</v>
      </c>
    </row>
    <row r="545" spans="1:33" ht="18" x14ac:dyDescent="0.2">
      <c r="A545" s="25"/>
      <c r="B545" s="26" t="s">
        <v>4</v>
      </c>
      <c r="C545" s="22">
        <f>_xlfn.IFNA(IF(OR(C544="",C544=0),"",(VLOOKUP(B545,'น้ำยา-เครื่อง'!$A:$AF,C544+1,FALSE))),"")</f>
        <v>1</v>
      </c>
      <c r="D545" s="22">
        <f>_xlfn.IFNA(IF(OR(D544="",D544=0),"",(VLOOKUP(B545,'น้ำยา-เครื่อง'!$A:$AF,D544+1,FALSE))),"")</f>
        <v>1</v>
      </c>
      <c r="E545" s="22">
        <f>_xlfn.IFNA(IF(OR(E544="",E544=0),"",(VLOOKUP(B545,'น้ำยา-เครื่อง'!$A:$AF,E544+1,FALSE))),"")</f>
        <v>1</v>
      </c>
      <c r="F545" s="22">
        <f>_xlfn.IFNA(IF(OR(F544="",F544=0),"",(VLOOKUP(B545,'น้ำยา-เครื่อง'!$A:$AF,F544+1,FALSE))),"")</f>
        <v>0</v>
      </c>
      <c r="G545" s="22">
        <f>_xlfn.IFNA(IF(OR(G544="",G544=0),"",(VLOOKUP(B545,'น้ำยา-เครื่อง'!$A:$AF,G544+1,FALSE))),"")</f>
        <v>0</v>
      </c>
      <c r="H545" s="22">
        <f>_xlfn.IFNA(IF(OR(H544="",H544=0),"",(VLOOKUP(B545,'น้ำยา-เครื่อง'!$A:$AF,H544+1,FALSE))),"")</f>
        <v>2</v>
      </c>
      <c r="I545" s="22">
        <f>_xlfn.IFNA(IF(OR(I544="",I544=0),"",(VLOOKUP(B545,'น้ำยา-เครื่อง'!$A:$AF,I544+1,FALSE))),"")</f>
        <v>2</v>
      </c>
      <c r="J545" s="22">
        <f>_xlfn.IFNA(IF(OR(J544="",J544=0),"",(VLOOKUP(B545,'น้ำยา-เครื่อง'!$A:$AF,J544+1,FALSE))),"")</f>
        <v>2</v>
      </c>
      <c r="K545" s="22">
        <f>_xlfn.IFNA(IF(OR(K544="",K544=0),"",(VLOOKUP(B545,'น้ำยา-เครื่อง'!$A:$AF,K544+1,FALSE))),"")</f>
        <v>2</v>
      </c>
      <c r="L545" s="22">
        <f>_xlfn.IFNA(IF(OR(L544="",L544=0),"",(VLOOKUP(B545,'น้ำยา-เครื่อง'!$A:$AF,L544+1,FALSE))),"")</f>
        <v>2</v>
      </c>
      <c r="M545" s="22">
        <f>_xlfn.IFNA(IF(OR(M544="",M544=0),"",(VLOOKUP(B545,'น้ำยา-เครื่อง'!$A:$AF,M544+1,FALSE))),"")</f>
        <v>0</v>
      </c>
      <c r="N545" s="22">
        <f>_xlfn.IFNA(IF(OR(N544="",N544=0),"",(VLOOKUP(B545,'น้ำยา-เครื่อง'!$A:$AF,N544+1,FALSE))),"")</f>
        <v>0</v>
      </c>
      <c r="O545" s="22">
        <f>_xlfn.IFNA(IF(OR(O544="",O544=0),"",(VLOOKUP(B545,'น้ำยา-เครื่อง'!$A:$AF,O544+1,FALSE))),"")</f>
        <v>1</v>
      </c>
      <c r="P545" s="22">
        <f>_xlfn.IFNA(IF(OR(P544="",P544=0),"",(VLOOKUP(B545,'น้ำยา-เครื่อง'!$A:$AF,P544+1,FALSE))),"")</f>
        <v>1</v>
      </c>
      <c r="Q545" s="22">
        <f>_xlfn.IFNA(IF(OR(Q544="",Q544=0),"",(VLOOKUP(B545,'น้ำยา-เครื่อง'!$A:$AF,Q544+1,FALSE))),"")</f>
        <v>1</v>
      </c>
      <c r="R545" s="22">
        <f>_xlfn.IFNA(IF(OR(R544="",R544=0),"",(VLOOKUP(B545,'น้ำยา-เครื่อง'!$A:$AF,R544+1,FALSE))),"")</f>
        <v>1</v>
      </c>
      <c r="S545" s="22">
        <f>_xlfn.IFNA(IF(OR(S544="",S544=0),"",(VLOOKUP(B545,'น้ำยา-เครื่อง'!$A:$AF,S544+1,FALSE))),"")</f>
        <v>1</v>
      </c>
      <c r="T545" s="22">
        <f>_xlfn.IFNA(IF(OR(T544="",T544=0),"",(VLOOKUP(B545,'น้ำยา-เครื่อง'!$A:$AF,T544+1,FALSE))),"")</f>
        <v>0</v>
      </c>
      <c r="U545" s="22">
        <f>_xlfn.IFNA(IF(OR(U544="",U544=0),"",(VLOOKUP(B545,'น้ำยา-เครื่อง'!$A:$AF,U544+1,FALSE))),"")</f>
        <v>0</v>
      </c>
      <c r="V545" s="22">
        <f>_xlfn.IFNA(IF(OR(V544="",V544=0),"",(VLOOKUP(B545,'น้ำยา-เครื่อง'!$A:$AF,V544+1,FALSE))),"")</f>
        <v>2</v>
      </c>
      <c r="W545" s="22">
        <f>_xlfn.IFNA(IF(OR(W544="",W544=0),"",(VLOOKUP(B545,'น้ำยา-เครื่อง'!$A:$AF,W544+1,FALSE))),"")</f>
        <v>2</v>
      </c>
      <c r="X545" s="22">
        <f>_xlfn.IFNA(IF(OR(X544="",X544=0),"",(VLOOKUP(B545,'น้ำยา-เครื่อง'!$A:$AF,X544+1,FALSE))),"")</f>
        <v>2</v>
      </c>
      <c r="Y545" s="22">
        <f>_xlfn.IFNA(IF(OR(Y544="",Y544=0),"",(VLOOKUP(B545,'น้ำยา-เครื่อง'!$A:$AF,Y544+1,FALSE))),"")</f>
        <v>2</v>
      </c>
      <c r="Z545" s="22">
        <f>_xlfn.IFNA(IF(OR(Z544="",Z544=0),"",(VLOOKUP(B545,'น้ำยา-เครื่อง'!$A:$AF,Z544+1,FALSE))),"")</f>
        <v>2</v>
      </c>
      <c r="AA545" s="22">
        <f>_xlfn.IFNA(IF(OR(AA544="",AA544=0),"",(VLOOKUP(B545,'น้ำยา-เครื่อง'!$A:$AF,AA544+1,FALSE))),"")</f>
        <v>0</v>
      </c>
      <c r="AB545" s="22">
        <f>_xlfn.IFNA(IF(OR(AB544="",AB544=0),"",(VLOOKUP(B545,'น้ำยา-เครื่อง'!$A:$AF,AB544+1,FALSE))),"")</f>
        <v>0</v>
      </c>
      <c r="AC545" s="22">
        <f>_xlfn.IFNA(IF(OR(AC544="",AC544=0),"",(VLOOKUP(B545,'น้ำยา-เครื่อง'!$A:$AF,AC544+1,FALSE))),"")</f>
        <v>1</v>
      </c>
      <c r="AD545" s="22">
        <f>_xlfn.IFNA(IF(OR(AD544="",AD544=0),"",(VLOOKUP(B545,'น้ำยา-เครื่อง'!$A:$AF,AD544+1,FALSE))),"")</f>
        <v>1</v>
      </c>
      <c r="AE545" s="22">
        <f>_xlfn.IFNA(IF(OR(AE544="",AE544=0),"",(VLOOKUP(B545,'น้ำยา-เครื่อง'!$A:$AF,AE544+1,FALSE))),"")</f>
        <v>1</v>
      </c>
      <c r="AF545" s="22">
        <f>_xlfn.IFNA(IF(OR(AF544="",AF544=0),"",(VLOOKUP(B545,'น้ำยา-เครื่อง'!$A:$AF,AF544+1,FALSE))),"")</f>
        <v>1</v>
      </c>
      <c r="AG545" s="22">
        <f>_xlfn.IFNA(IF(OR(AG544="",AG544=0),"",(VLOOKUP(B545,'น้ำยา-เครื่อง'!$A:$AF,AG544+1,FALSE))),"")</f>
        <v>1</v>
      </c>
    </row>
    <row r="546" spans="1:33" ht="18.75" customHeight="1" x14ac:dyDescent="0.2">
      <c r="A546" s="100" t="s">
        <v>237</v>
      </c>
      <c r="B546" s="27" t="s">
        <v>5</v>
      </c>
      <c r="C546" s="28" t="str">
        <f t="shared" ref="C546:AG546" si="73">IF(C99="","",C99)</f>
        <v/>
      </c>
      <c r="D546" s="28" t="str">
        <f t="shared" si="73"/>
        <v/>
      </c>
      <c r="E546" s="28" t="str">
        <f t="shared" si="73"/>
        <v/>
      </c>
      <c r="F546" s="28" t="str">
        <f t="shared" si="73"/>
        <v/>
      </c>
      <c r="G546" s="28" t="str">
        <f t="shared" si="73"/>
        <v/>
      </c>
      <c r="H546" s="28" t="str">
        <f t="shared" si="73"/>
        <v>O</v>
      </c>
      <c r="I546" s="28" t="str">
        <f t="shared" si="73"/>
        <v/>
      </c>
      <c r="J546" s="28" t="str">
        <f t="shared" si="73"/>
        <v/>
      </c>
      <c r="K546" s="28" t="str">
        <f t="shared" si="73"/>
        <v/>
      </c>
      <c r="L546" s="28" t="str">
        <f t="shared" si="73"/>
        <v/>
      </c>
      <c r="M546" s="28" t="str">
        <f t="shared" si="73"/>
        <v/>
      </c>
      <c r="N546" s="28" t="str">
        <f t="shared" si="73"/>
        <v/>
      </c>
      <c r="O546" s="28" t="str">
        <f t="shared" si="73"/>
        <v>O</v>
      </c>
      <c r="P546" s="28" t="str">
        <f t="shared" si="73"/>
        <v/>
      </c>
      <c r="Q546" s="28" t="str">
        <f t="shared" si="73"/>
        <v/>
      </c>
      <c r="R546" s="28" t="str">
        <f t="shared" si="73"/>
        <v/>
      </c>
      <c r="S546" s="28" t="str">
        <f t="shared" si="73"/>
        <v/>
      </c>
      <c r="T546" s="28" t="str">
        <f t="shared" si="73"/>
        <v/>
      </c>
      <c r="U546" s="28" t="str">
        <f t="shared" si="73"/>
        <v/>
      </c>
      <c r="V546" s="28" t="str">
        <f t="shared" si="73"/>
        <v>O</v>
      </c>
      <c r="W546" s="28" t="str">
        <f t="shared" si="73"/>
        <v/>
      </c>
      <c r="X546" s="28" t="str">
        <f t="shared" si="73"/>
        <v/>
      </c>
      <c r="Y546" s="28" t="str">
        <f t="shared" si="73"/>
        <v/>
      </c>
      <c r="Z546" s="28" t="str">
        <f t="shared" si="73"/>
        <v/>
      </c>
      <c r="AA546" s="28" t="str">
        <f t="shared" si="73"/>
        <v/>
      </c>
      <c r="AB546" s="28" t="str">
        <f t="shared" si="73"/>
        <v/>
      </c>
      <c r="AC546" s="28" t="str">
        <f t="shared" si="73"/>
        <v/>
      </c>
      <c r="AD546" s="28" t="str">
        <f t="shared" si="73"/>
        <v/>
      </c>
      <c r="AE546" s="28" t="str">
        <f t="shared" si="73"/>
        <v/>
      </c>
      <c r="AF546" s="28" t="str">
        <f t="shared" si="73"/>
        <v/>
      </c>
      <c r="AG546" s="28" t="str">
        <f t="shared" si="73"/>
        <v/>
      </c>
    </row>
    <row r="547" spans="1:33" ht="18" x14ac:dyDescent="0.2">
      <c r="A547" s="100"/>
      <c r="B547" s="27" t="s">
        <v>6</v>
      </c>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row>
    <row r="548" spans="1:33" ht="18" x14ac:dyDescent="0.2">
      <c r="A548" s="100"/>
      <c r="B548" s="27"/>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row>
    <row r="549" spans="1:33" ht="18.75" customHeight="1" x14ac:dyDescent="0.2">
      <c r="A549" s="100"/>
      <c r="B549" s="27" t="s">
        <v>5</v>
      </c>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2"/>
      <c r="AC549" s="28"/>
      <c r="AD549" s="28"/>
      <c r="AE549" s="28"/>
      <c r="AF549" s="22"/>
      <c r="AG549" s="28"/>
    </row>
    <row r="550" spans="1:33" ht="18" x14ac:dyDescent="0.2">
      <c r="A550" s="100"/>
      <c r="B550" s="27" t="s">
        <v>6</v>
      </c>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row>
    <row r="551" spans="1:33" ht="18" x14ac:dyDescent="0.2">
      <c r="A551" s="100"/>
      <c r="B551" s="27"/>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row>
    <row r="552" spans="1:33" ht="18" x14ac:dyDescent="0.2">
      <c r="A552" s="100"/>
      <c r="B552" s="27" t="s">
        <v>5</v>
      </c>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2"/>
      <c r="AC552" s="28"/>
      <c r="AD552" s="28"/>
      <c r="AE552" s="28"/>
      <c r="AF552" s="22"/>
      <c r="AG552" s="28"/>
    </row>
    <row r="553" spans="1:33" ht="18" x14ac:dyDescent="0.2">
      <c r="A553" s="100"/>
      <c r="B553" s="27" t="s">
        <v>6</v>
      </c>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row>
    <row r="554" spans="1:33" ht="18" x14ac:dyDescent="0.2">
      <c r="A554" s="100"/>
      <c r="B554" s="27"/>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row>
    <row r="555" spans="1:33" ht="18.75" customHeight="1" x14ac:dyDescent="0.2">
      <c r="A555" s="20" t="s">
        <v>0</v>
      </c>
      <c r="B555" s="21" t="s">
        <v>2</v>
      </c>
      <c r="C555" s="98" t="str">
        <f>C495</f>
        <v>เดือน สิงหาคม</v>
      </c>
      <c r="D555" s="99"/>
      <c r="E555" s="99"/>
      <c r="F555" s="99"/>
      <c r="G555" s="99"/>
      <c r="H555" s="99"/>
      <c r="I555" s="99"/>
      <c r="J555" s="99"/>
      <c r="K555" s="99"/>
      <c r="L555" s="99"/>
      <c r="M555" s="99"/>
      <c r="N555" s="99"/>
      <c r="O555" s="99"/>
      <c r="P555" s="99"/>
      <c r="Q555" s="99"/>
      <c r="R555" s="99"/>
      <c r="S555" s="99"/>
      <c r="T555" s="99"/>
      <c r="U555" s="99"/>
      <c r="V555" s="99"/>
      <c r="W555" s="99"/>
      <c r="X555" s="99"/>
      <c r="Y555" s="99"/>
      <c r="Z555" s="99"/>
      <c r="AA555" s="99"/>
      <c r="AB555" s="99"/>
      <c r="AC555" s="99"/>
      <c r="AD555" s="99"/>
      <c r="AE555" s="99"/>
      <c r="AF555" s="99"/>
      <c r="AG555" s="99"/>
    </row>
    <row r="556" spans="1:33" ht="18" x14ac:dyDescent="0.2">
      <c r="A556" s="23" t="s">
        <v>1</v>
      </c>
      <c r="B556" s="24" t="s">
        <v>3</v>
      </c>
      <c r="C556" s="22">
        <f>C496</f>
        <v>1</v>
      </c>
      <c r="D556" s="22">
        <f t="shared" ref="D556:AG556" si="74">D496</f>
        <v>2</v>
      </c>
      <c r="E556" s="22">
        <f t="shared" si="74"/>
        <v>3</v>
      </c>
      <c r="F556" s="22">
        <f t="shared" si="74"/>
        <v>4</v>
      </c>
      <c r="G556" s="22">
        <f t="shared" si="74"/>
        <v>5</v>
      </c>
      <c r="H556" s="22">
        <f t="shared" si="74"/>
        <v>6</v>
      </c>
      <c r="I556" s="22">
        <f t="shared" si="74"/>
        <v>7</v>
      </c>
      <c r="J556" s="22">
        <f t="shared" si="74"/>
        <v>8</v>
      </c>
      <c r="K556" s="22">
        <f t="shared" si="74"/>
        <v>9</v>
      </c>
      <c r="L556" s="22">
        <f t="shared" si="74"/>
        <v>10</v>
      </c>
      <c r="M556" s="22">
        <f t="shared" si="74"/>
        <v>11</v>
      </c>
      <c r="N556" s="22">
        <f t="shared" si="74"/>
        <v>12</v>
      </c>
      <c r="O556" s="22">
        <f t="shared" si="74"/>
        <v>13</v>
      </c>
      <c r="P556" s="22">
        <f t="shared" si="74"/>
        <v>14</v>
      </c>
      <c r="Q556" s="22">
        <f t="shared" si="74"/>
        <v>15</v>
      </c>
      <c r="R556" s="22">
        <f t="shared" si="74"/>
        <v>16</v>
      </c>
      <c r="S556" s="22">
        <f t="shared" si="74"/>
        <v>17</v>
      </c>
      <c r="T556" s="22">
        <f t="shared" si="74"/>
        <v>18</v>
      </c>
      <c r="U556" s="22">
        <f t="shared" si="74"/>
        <v>19</v>
      </c>
      <c r="V556" s="22">
        <f t="shared" si="74"/>
        <v>20</v>
      </c>
      <c r="W556" s="22">
        <f t="shared" si="74"/>
        <v>21</v>
      </c>
      <c r="X556" s="22">
        <f t="shared" si="74"/>
        <v>22</v>
      </c>
      <c r="Y556" s="22">
        <f t="shared" si="74"/>
        <v>23</v>
      </c>
      <c r="Z556" s="22">
        <f t="shared" si="74"/>
        <v>24</v>
      </c>
      <c r="AA556" s="22">
        <f t="shared" si="74"/>
        <v>25</v>
      </c>
      <c r="AB556" s="22">
        <f t="shared" si="74"/>
        <v>26</v>
      </c>
      <c r="AC556" s="22">
        <f t="shared" si="74"/>
        <v>27</v>
      </c>
      <c r="AD556" s="22">
        <f t="shared" si="74"/>
        <v>28</v>
      </c>
      <c r="AE556" s="22">
        <f t="shared" si="74"/>
        <v>29</v>
      </c>
      <c r="AF556" s="22">
        <f t="shared" si="74"/>
        <v>30</v>
      </c>
      <c r="AG556" s="22">
        <f t="shared" si="74"/>
        <v>0</v>
      </c>
    </row>
    <row r="557" spans="1:33" ht="18" x14ac:dyDescent="0.2">
      <c r="A557" s="25"/>
      <c r="B557" s="26" t="s">
        <v>4</v>
      </c>
      <c r="C557" s="22">
        <f>_xlfn.IFNA(IF(OR(C556="",C556=0),"",(VLOOKUP($B557,'น้ำยา-เครื่อง'!$A$14:$AF$23,C556+1,FALSE))),"")</f>
        <v>0</v>
      </c>
      <c r="D557" s="22">
        <f>_xlfn.IFNA(IF(OR(D556="",D556=0),"",(VLOOKUP($B557,'น้ำยา-เครื่อง'!$A$14:$AF$23,D556+1,FALSE))),"")</f>
        <v>0</v>
      </c>
      <c r="E557" s="22">
        <f>_xlfn.IFNA(IF(OR(E556="",E556=0),"",(VLOOKUP($B557,'น้ำยา-เครื่อง'!$A$14:$AF$23,E556+1,FALSE))),"")</f>
        <v>2</v>
      </c>
      <c r="F557" s="22">
        <f>_xlfn.IFNA(IF(OR(F556="",F556=0),"",(VLOOKUP($B557,'น้ำยา-เครื่อง'!$A$14:$AF$23,F556+1,FALSE))),"")</f>
        <v>2</v>
      </c>
      <c r="G557" s="22">
        <f>_xlfn.IFNA(IF(OR(G556="",G556=0),"",(VLOOKUP($B557,'น้ำยา-เครื่อง'!$A$14:$AF$23,G556+1,FALSE))),"")</f>
        <v>2</v>
      </c>
      <c r="H557" s="22">
        <f>_xlfn.IFNA(IF(OR(H556="",H556=0),"",(VLOOKUP($B557,'น้ำยา-เครื่อง'!$A$14:$AF$23,H556+1,FALSE))),"")</f>
        <v>2</v>
      </c>
      <c r="I557" s="22">
        <f>_xlfn.IFNA(IF(OR(I556="",I556=0),"",(VLOOKUP($B557,'น้ำยา-เครื่อง'!$A$14:$AF$23,I556+1,FALSE))),"")</f>
        <v>2</v>
      </c>
      <c r="J557" s="22">
        <f>_xlfn.IFNA(IF(OR(J556="",J556=0),"",(VLOOKUP($B557,'น้ำยา-เครื่อง'!$A$14:$AF$23,J556+1,FALSE))),"")</f>
        <v>0</v>
      </c>
      <c r="K557" s="22">
        <f>_xlfn.IFNA(IF(OR(K556="",K556=0),"",(VLOOKUP($B557,'น้ำยา-เครื่อง'!$A$14:$AF$23,K556+1,FALSE))),"")</f>
        <v>0</v>
      </c>
      <c r="L557" s="22">
        <f>_xlfn.IFNA(IF(OR(L556="",L556=0),"",(VLOOKUP($B557,'น้ำยา-เครื่อง'!$A$14:$AF$23,L556+1,FALSE))),"")</f>
        <v>1</v>
      </c>
      <c r="M557" s="22">
        <f>_xlfn.IFNA(IF(OR(M556="",M556=0),"",(VLOOKUP($B557,'น้ำยา-เครื่อง'!$A$14:$AF$23,M556+1,FALSE))),"")</f>
        <v>1</v>
      </c>
      <c r="N557" s="22">
        <f>_xlfn.IFNA(IF(OR(N556="",N556=0),"",(VLOOKUP($B557,'น้ำยา-เครื่อง'!$A$14:$AF$23,N556+1,FALSE))),"")</f>
        <v>1</v>
      </c>
      <c r="O557" s="22">
        <f>_xlfn.IFNA(IF(OR(O556="",O556=0),"",(VLOOKUP($B557,'น้ำยา-เครื่อง'!$A$14:$AF$23,O556+1,FALSE))),"")</f>
        <v>1</v>
      </c>
      <c r="P557" s="22">
        <f>_xlfn.IFNA(IF(OR(P556="",P556=0),"",(VLOOKUP($B557,'น้ำยา-เครื่อง'!$A$14:$AF$23,P556+1,FALSE))),"")</f>
        <v>1</v>
      </c>
      <c r="Q557" s="22">
        <f>_xlfn.IFNA(IF(OR(Q556="",Q556=0),"",(VLOOKUP($B557,'น้ำยา-เครื่อง'!$A$14:$AF$23,Q556+1,FALSE))),"")</f>
        <v>0</v>
      </c>
      <c r="R557" s="22">
        <f>_xlfn.IFNA(IF(OR(R556="",R556=0),"",(VLOOKUP($B557,'น้ำยา-เครื่อง'!$A$14:$AF$23,R556+1,FALSE))),"")</f>
        <v>0</v>
      </c>
      <c r="S557" s="22">
        <f>_xlfn.IFNA(IF(OR(S556="",S556=0),"",(VLOOKUP($B557,'น้ำยา-เครื่อง'!$A$14:$AF$23,S556+1,FALSE))),"")</f>
        <v>2</v>
      </c>
      <c r="T557" s="22">
        <f>_xlfn.IFNA(IF(OR(T556="",T556=0),"",(VLOOKUP($B557,'น้ำยา-เครื่อง'!$A$14:$AF$23,T556+1,FALSE))),"")</f>
        <v>2</v>
      </c>
      <c r="U557" s="22">
        <f>_xlfn.IFNA(IF(OR(U556="",U556=0),"",(VLOOKUP($B557,'น้ำยา-เครื่อง'!$A$14:$AF$23,U556+1,FALSE))),"")</f>
        <v>2</v>
      </c>
      <c r="V557" s="22">
        <f>_xlfn.IFNA(IF(OR(V556="",V556=0),"",(VLOOKUP($B557,'น้ำยา-เครื่อง'!$A$14:$AF$23,V556+1,FALSE))),"")</f>
        <v>2</v>
      </c>
      <c r="W557" s="22">
        <f>_xlfn.IFNA(IF(OR(W556="",W556=0),"",(VLOOKUP($B557,'น้ำยา-เครื่อง'!$A$14:$AF$23,W556+1,FALSE))),"")</f>
        <v>2</v>
      </c>
      <c r="X557" s="22">
        <f>_xlfn.IFNA(IF(OR(X556="",X556=0),"",(VLOOKUP($B557,'น้ำยา-เครื่อง'!$A$14:$AF$23,X556+1,FALSE))),"")</f>
        <v>0</v>
      </c>
      <c r="Y557" s="22">
        <f>_xlfn.IFNA(IF(OR(Y556="",Y556=0),"",(VLOOKUP($B557,'น้ำยา-เครื่อง'!$A$14:$AF$23,Y556+1,FALSE))),"")</f>
        <v>0</v>
      </c>
      <c r="Z557" s="22">
        <f>_xlfn.IFNA(IF(OR(Z556="",Z556=0),"",(VLOOKUP($B557,'น้ำยา-เครื่อง'!$A$14:$AF$23,Z556+1,FALSE))),"")</f>
        <v>1</v>
      </c>
      <c r="AA557" s="22">
        <f>_xlfn.IFNA(IF(OR(AA556="",AA556=0),"",(VLOOKUP($B557,'น้ำยา-เครื่อง'!$A$14:$AF$23,AA556+1,FALSE))),"")</f>
        <v>1</v>
      </c>
      <c r="AB557" s="22">
        <f>_xlfn.IFNA(IF(OR(AB556="",AB556=0),"",(VLOOKUP($B557,'น้ำยา-เครื่อง'!$A$14:$AF$23,AB556+1,FALSE))),"")</f>
        <v>1</v>
      </c>
      <c r="AC557" s="22">
        <f>_xlfn.IFNA(IF(OR(AC556="",AC556=0),"",(VLOOKUP($B557,'น้ำยา-เครื่อง'!$A$14:$AF$23,AC556+1,FALSE))),"")</f>
        <v>1</v>
      </c>
      <c r="AD557" s="22">
        <f>_xlfn.IFNA(IF(OR(AD556="",AD556=0),"",(VLOOKUP($B557,'น้ำยา-เครื่อง'!$A$14:$AF$23,AD556+1,FALSE))),"")</f>
        <v>1</v>
      </c>
      <c r="AE557" s="22">
        <f>_xlfn.IFNA(IF(OR(AE556="",AE556=0),"",(VLOOKUP($B557,'น้ำยา-เครื่อง'!$A$14:$AF$23,AE556+1,FALSE))),"")</f>
        <v>0</v>
      </c>
      <c r="AF557" s="22">
        <f>_xlfn.IFNA(IF(OR(AF556="",AF556=0),"",(VLOOKUP($B557,'น้ำยา-เครื่อง'!$A$14:$AF$23,AF556+1,FALSE))),"")</f>
        <v>0</v>
      </c>
      <c r="AG557" s="22" t="str">
        <f>_xlfn.IFNA(IF(OR(AG556="",AG556=0),"",(VLOOKUP($B557,'น้ำยา-เครื่อง'!$A$14:$AF$23,AG556+1,FALSE))),"")</f>
        <v/>
      </c>
    </row>
    <row r="558" spans="1:33" ht="18.75" customHeight="1" x14ac:dyDescent="0.2">
      <c r="A558" s="100" t="s">
        <v>237</v>
      </c>
      <c r="B558" s="27" t="s">
        <v>5</v>
      </c>
      <c r="C558" s="28" t="str">
        <f>IF(C111="","",C111)</f>
        <v/>
      </c>
      <c r="D558" s="28" t="str">
        <f t="shared" ref="D558:AG558" si="75">IF(D111="","",D111)</f>
        <v/>
      </c>
      <c r="E558" s="28" t="str">
        <f t="shared" si="75"/>
        <v>O</v>
      </c>
      <c r="F558" s="28" t="str">
        <f t="shared" si="75"/>
        <v/>
      </c>
      <c r="G558" s="28" t="str">
        <f t="shared" si="75"/>
        <v/>
      </c>
      <c r="H558" s="28" t="str">
        <f t="shared" si="75"/>
        <v/>
      </c>
      <c r="I558" s="28" t="str">
        <f t="shared" si="75"/>
        <v/>
      </c>
      <c r="J558" s="28" t="str">
        <f t="shared" si="75"/>
        <v/>
      </c>
      <c r="K558" s="28" t="str">
        <f t="shared" si="75"/>
        <v/>
      </c>
      <c r="L558" s="28" t="str">
        <f t="shared" si="75"/>
        <v/>
      </c>
      <c r="M558" s="28" t="str">
        <f t="shared" si="75"/>
        <v/>
      </c>
      <c r="N558" s="28" t="str">
        <f t="shared" si="75"/>
        <v>O</v>
      </c>
      <c r="O558" s="28" t="str">
        <f t="shared" si="75"/>
        <v/>
      </c>
      <c r="P558" s="28" t="str">
        <f t="shared" si="75"/>
        <v/>
      </c>
      <c r="Q558" s="28" t="str">
        <f t="shared" si="75"/>
        <v/>
      </c>
      <c r="R558" s="28" t="str">
        <f t="shared" si="75"/>
        <v/>
      </c>
      <c r="S558" s="28" t="str">
        <f t="shared" si="75"/>
        <v>O</v>
      </c>
      <c r="T558" s="28" t="str">
        <f t="shared" si="75"/>
        <v/>
      </c>
      <c r="U558" s="28" t="str">
        <f t="shared" si="75"/>
        <v/>
      </c>
      <c r="V558" s="28" t="str">
        <f t="shared" si="75"/>
        <v/>
      </c>
      <c r="W558" s="28" t="str">
        <f t="shared" si="75"/>
        <v/>
      </c>
      <c r="X558" s="28" t="str">
        <f t="shared" si="75"/>
        <v/>
      </c>
      <c r="Y558" s="28" t="str">
        <f t="shared" si="75"/>
        <v/>
      </c>
      <c r="Z558" s="28" t="str">
        <f t="shared" si="75"/>
        <v>O</v>
      </c>
      <c r="AA558" s="28" t="str">
        <f t="shared" si="75"/>
        <v/>
      </c>
      <c r="AB558" s="28" t="str">
        <f t="shared" si="75"/>
        <v/>
      </c>
      <c r="AC558" s="28" t="str">
        <f t="shared" si="75"/>
        <v/>
      </c>
      <c r="AD558" s="28" t="str">
        <f t="shared" si="75"/>
        <v/>
      </c>
      <c r="AE558" s="28" t="str">
        <f t="shared" si="75"/>
        <v/>
      </c>
      <c r="AF558" s="28" t="str">
        <f t="shared" si="75"/>
        <v/>
      </c>
      <c r="AG558" s="28" t="str">
        <f t="shared" si="75"/>
        <v/>
      </c>
    </row>
    <row r="559" spans="1:33" ht="18" x14ac:dyDescent="0.2">
      <c r="A559" s="100"/>
      <c r="B559" s="27" t="s">
        <v>6</v>
      </c>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row>
    <row r="560" spans="1:33" ht="18" x14ac:dyDescent="0.2">
      <c r="A560" s="100"/>
      <c r="B560" s="27"/>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row>
    <row r="561" spans="1:33" ht="18.75" customHeight="1" x14ac:dyDescent="0.2">
      <c r="A561" s="100"/>
      <c r="B561" s="27" t="s">
        <v>5</v>
      </c>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2"/>
      <c r="AC561" s="28"/>
      <c r="AD561" s="28"/>
      <c r="AE561" s="28"/>
      <c r="AF561" s="22"/>
      <c r="AG561" s="28"/>
    </row>
    <row r="562" spans="1:33" ht="18" x14ac:dyDescent="0.2">
      <c r="A562" s="100"/>
      <c r="B562" s="27" t="s">
        <v>6</v>
      </c>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row>
    <row r="563" spans="1:33" ht="18" x14ac:dyDescent="0.2">
      <c r="A563" s="100"/>
      <c r="B563" s="27"/>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row>
    <row r="564" spans="1:33" ht="18.75" customHeight="1" x14ac:dyDescent="0.2">
      <c r="A564" s="100"/>
      <c r="B564" s="27" t="s">
        <v>5</v>
      </c>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2"/>
      <c r="AC564" s="28"/>
      <c r="AD564" s="28"/>
      <c r="AE564" s="28"/>
      <c r="AF564" s="22"/>
      <c r="AG564" s="28"/>
    </row>
    <row r="565" spans="1:33" ht="18" x14ac:dyDescent="0.2">
      <c r="A565" s="100"/>
      <c r="B565" s="27" t="s">
        <v>6</v>
      </c>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row>
    <row r="566" spans="1:33" ht="18" x14ac:dyDescent="0.2">
      <c r="A566" s="100"/>
      <c r="B566" s="27"/>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row>
    <row r="567" spans="1:33" ht="18" x14ac:dyDescent="0.4">
      <c r="A567" s="4" t="s">
        <v>219</v>
      </c>
      <c r="B567" s="4"/>
      <c r="C567" s="4"/>
      <c r="D567" s="4"/>
      <c r="E567" s="4"/>
      <c r="F567" s="4"/>
      <c r="G567" s="4"/>
      <c r="H567" s="4"/>
      <c r="I567" s="4"/>
      <c r="J567" s="4"/>
      <c r="K567" s="4"/>
      <c r="L567" s="4"/>
      <c r="M567" s="4"/>
      <c r="N567" s="4"/>
      <c r="O567" s="4"/>
      <c r="P567" s="4"/>
      <c r="Q567" s="4"/>
      <c r="R567" s="4"/>
      <c r="S567" s="4"/>
      <c r="T567" s="4"/>
      <c r="U567" s="10"/>
      <c r="V567" s="10"/>
      <c r="W567" s="71" t="s">
        <v>186</v>
      </c>
      <c r="X567" s="71"/>
      <c r="Y567" s="71"/>
      <c r="Z567" s="71"/>
      <c r="AA567" s="71"/>
      <c r="AB567" s="71"/>
      <c r="AC567" s="71"/>
      <c r="AD567" s="10"/>
      <c r="AE567" s="10"/>
      <c r="AF567" s="10"/>
      <c r="AG567" s="10"/>
    </row>
    <row r="568" spans="1:33" ht="18" x14ac:dyDescent="0.4">
      <c r="A568" s="7"/>
      <c r="B568" s="7"/>
      <c r="C568" s="7"/>
      <c r="D568" s="7"/>
      <c r="E568" s="7"/>
      <c r="F568" s="7"/>
      <c r="G568" s="7"/>
      <c r="H568" s="7"/>
      <c r="I568" s="7"/>
      <c r="J568" s="7"/>
      <c r="K568" s="7"/>
      <c r="L568" s="7"/>
      <c r="M568" s="7"/>
      <c r="N568" s="7"/>
      <c r="O568" s="7"/>
      <c r="P568" s="7"/>
      <c r="Q568" s="7"/>
      <c r="R568" s="7"/>
      <c r="S568" s="7"/>
      <c r="T568" s="7"/>
      <c r="U568" s="38"/>
      <c r="V568" s="38"/>
      <c r="W568" s="7"/>
      <c r="X568" s="7"/>
      <c r="Y568" s="7"/>
      <c r="Z568" s="7"/>
      <c r="AA568" s="7"/>
      <c r="AB568" s="7"/>
      <c r="AC568" s="7"/>
      <c r="AD568" s="7"/>
      <c r="AE568" s="7"/>
      <c r="AF568" s="7"/>
      <c r="AG568" s="7"/>
    </row>
    <row r="569" spans="1:33" ht="18" x14ac:dyDescent="0.4">
      <c r="A569" s="9"/>
      <c r="B569" s="9"/>
      <c r="C569" s="9"/>
      <c r="D569" s="9"/>
      <c r="E569" s="9"/>
      <c r="F569" s="9"/>
      <c r="G569" s="9"/>
      <c r="H569" s="9"/>
      <c r="I569" s="9"/>
      <c r="J569" s="9"/>
      <c r="K569" s="9"/>
      <c r="L569" s="9"/>
      <c r="M569" s="9"/>
      <c r="N569" s="9"/>
      <c r="O569" s="9"/>
      <c r="P569" s="72" t="s">
        <v>28</v>
      </c>
      <c r="Q569" s="72"/>
      <c r="R569" s="73" t="str">
        <f>R509</f>
        <v>พีรวัส</v>
      </c>
      <c r="S569" s="73"/>
      <c r="T569" s="73"/>
      <c r="U569" s="97" t="s">
        <v>221</v>
      </c>
      <c r="V569" s="97"/>
      <c r="W569" s="73" t="str">
        <f>W509</f>
        <v>วรพงศ์</v>
      </c>
      <c r="X569" s="73"/>
      <c r="Y569" s="73"/>
      <c r="Z569" s="8" t="s">
        <v>29</v>
      </c>
      <c r="AA569" s="74">
        <f>AA509</f>
        <v>46204</v>
      </c>
      <c r="AB569" s="74"/>
      <c r="AC569" s="74"/>
      <c r="AD569" s="9"/>
      <c r="AE569" s="73"/>
      <c r="AF569" s="73"/>
      <c r="AG569" s="73"/>
    </row>
    <row r="570" spans="1:33" x14ac:dyDescent="0.2">
      <c r="U570" s="67"/>
      <c r="V570" s="67"/>
    </row>
    <row r="571" spans="1:33" ht="23.25" x14ac:dyDescent="0.5">
      <c r="A571" s="80" t="s">
        <v>210</v>
      </c>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row>
    <row r="572" spans="1:33" ht="21" x14ac:dyDescent="0.45">
      <c r="A572" s="64" t="s">
        <v>22</v>
      </c>
      <c r="B572" s="81" t="s">
        <v>327</v>
      </c>
      <c r="C572" s="81"/>
      <c r="D572" s="81"/>
      <c r="E572" s="81"/>
      <c r="F572" s="81"/>
      <c r="G572" s="81"/>
      <c r="H572" s="64" t="s">
        <v>24</v>
      </c>
      <c r="I572" s="84" t="s">
        <v>328</v>
      </c>
      <c r="J572" s="88"/>
      <c r="K572" s="88"/>
      <c r="L572" s="88"/>
      <c r="M572" s="83" t="s">
        <v>25</v>
      </c>
      <c r="N572" s="83"/>
      <c r="O572" s="81" t="s">
        <v>329</v>
      </c>
      <c r="P572" s="81"/>
      <c r="Q572" s="81"/>
      <c r="R572" s="81"/>
      <c r="S572" s="81"/>
      <c r="T572" s="64" t="s">
        <v>20</v>
      </c>
      <c r="U572" s="101">
        <f>$U$2</f>
        <v>2569</v>
      </c>
      <c r="V572" s="101"/>
      <c r="W572" s="83" t="s">
        <v>35</v>
      </c>
      <c r="X572" s="83"/>
      <c r="Y572" s="83"/>
      <c r="Z572" s="4" t="s">
        <v>137</v>
      </c>
      <c r="AA572" s="1"/>
      <c r="AB572" s="1"/>
      <c r="AC572" s="1"/>
    </row>
    <row r="573" spans="1:33" ht="18.75" customHeight="1" x14ac:dyDescent="0.2">
      <c r="A573" s="61" t="s">
        <v>0</v>
      </c>
      <c r="B573" s="21" t="s">
        <v>2</v>
      </c>
      <c r="C573" s="98" t="str">
        <f>C543</f>
        <v>เดือน กรกฏาคม</v>
      </c>
      <c r="D573" s="99"/>
      <c r="E573" s="99"/>
      <c r="F573" s="99"/>
      <c r="G573" s="99"/>
      <c r="H573" s="99"/>
      <c r="I573" s="99"/>
      <c r="J573" s="99"/>
      <c r="K573" s="99"/>
      <c r="L573" s="99"/>
      <c r="M573" s="99"/>
      <c r="N573" s="99"/>
      <c r="O573" s="99"/>
      <c r="P573" s="99"/>
      <c r="Q573" s="99"/>
      <c r="R573" s="99"/>
      <c r="S573" s="99"/>
      <c r="T573" s="99"/>
      <c r="U573" s="99"/>
      <c r="V573" s="99"/>
      <c r="W573" s="99"/>
      <c r="X573" s="99"/>
      <c r="Y573" s="99"/>
      <c r="Z573" s="99"/>
      <c r="AA573" s="99"/>
      <c r="AB573" s="99"/>
      <c r="AC573" s="99"/>
      <c r="AD573" s="99"/>
      <c r="AE573" s="99"/>
      <c r="AF573" s="99"/>
      <c r="AG573" s="99"/>
    </row>
    <row r="574" spans="1:33" ht="18" x14ac:dyDescent="0.2">
      <c r="A574" s="23" t="s">
        <v>1</v>
      </c>
      <c r="B574" s="24" t="s">
        <v>3</v>
      </c>
      <c r="C574" s="66">
        <f>C544</f>
        <v>1</v>
      </c>
      <c r="D574" s="66">
        <f t="shared" ref="D574:AG574" si="76">D544</f>
        <v>2</v>
      </c>
      <c r="E574" s="66">
        <f t="shared" si="76"/>
        <v>3</v>
      </c>
      <c r="F574" s="66">
        <f t="shared" si="76"/>
        <v>4</v>
      </c>
      <c r="G574" s="66">
        <f t="shared" si="76"/>
        <v>5</v>
      </c>
      <c r="H574" s="66">
        <f t="shared" si="76"/>
        <v>6</v>
      </c>
      <c r="I574" s="66">
        <f t="shared" si="76"/>
        <v>7</v>
      </c>
      <c r="J574" s="66">
        <f t="shared" si="76"/>
        <v>8</v>
      </c>
      <c r="K574" s="66">
        <f t="shared" si="76"/>
        <v>9</v>
      </c>
      <c r="L574" s="66">
        <f t="shared" si="76"/>
        <v>10</v>
      </c>
      <c r="M574" s="66">
        <f t="shared" si="76"/>
        <v>11</v>
      </c>
      <c r="N574" s="66">
        <f t="shared" si="76"/>
        <v>12</v>
      </c>
      <c r="O574" s="66">
        <f t="shared" si="76"/>
        <v>13</v>
      </c>
      <c r="P574" s="66">
        <f t="shared" si="76"/>
        <v>14</v>
      </c>
      <c r="Q574" s="66">
        <f t="shared" si="76"/>
        <v>15</v>
      </c>
      <c r="R574" s="66">
        <f t="shared" si="76"/>
        <v>16</v>
      </c>
      <c r="S574" s="66">
        <f t="shared" si="76"/>
        <v>17</v>
      </c>
      <c r="T574" s="66">
        <f t="shared" si="76"/>
        <v>18</v>
      </c>
      <c r="U574" s="66">
        <f t="shared" si="76"/>
        <v>19</v>
      </c>
      <c r="V574" s="66">
        <f t="shared" si="76"/>
        <v>20</v>
      </c>
      <c r="W574" s="66">
        <f t="shared" si="76"/>
        <v>21</v>
      </c>
      <c r="X574" s="66">
        <f t="shared" si="76"/>
        <v>22</v>
      </c>
      <c r="Y574" s="66">
        <f t="shared" si="76"/>
        <v>23</v>
      </c>
      <c r="Z574" s="66">
        <f t="shared" si="76"/>
        <v>24</v>
      </c>
      <c r="AA574" s="66">
        <f t="shared" si="76"/>
        <v>25</v>
      </c>
      <c r="AB574" s="66">
        <f t="shared" si="76"/>
        <v>26</v>
      </c>
      <c r="AC574" s="66">
        <f t="shared" si="76"/>
        <v>27</v>
      </c>
      <c r="AD574" s="66">
        <f t="shared" si="76"/>
        <v>28</v>
      </c>
      <c r="AE574" s="66">
        <f t="shared" si="76"/>
        <v>29</v>
      </c>
      <c r="AF574" s="66">
        <f t="shared" si="76"/>
        <v>30</v>
      </c>
      <c r="AG574" s="66">
        <f t="shared" si="76"/>
        <v>31</v>
      </c>
    </row>
    <row r="575" spans="1:33" ht="18" x14ac:dyDescent="0.2">
      <c r="A575" s="25"/>
      <c r="B575" s="26" t="s">
        <v>4</v>
      </c>
      <c r="C575" s="66">
        <f>_xlfn.IFNA(IF(OR(C574="",C574=0),"",(VLOOKUP(B575,'น้ำยา-เครื่อง'!$A:$AF,C574+1,FALSE))),"")</f>
        <v>1</v>
      </c>
      <c r="D575" s="66">
        <f>_xlfn.IFNA(IF(OR(D574="",D574=0),"",(VLOOKUP(B575,'น้ำยา-เครื่อง'!$A:$AF,D574+1,FALSE))),"")</f>
        <v>1</v>
      </c>
      <c r="E575" s="66">
        <f>_xlfn.IFNA(IF(OR(E574="",E574=0),"",(VLOOKUP(B575,'น้ำยา-เครื่อง'!$A:$AF,E574+1,FALSE))),"")</f>
        <v>1</v>
      </c>
      <c r="F575" s="66">
        <f>_xlfn.IFNA(IF(OR(F574="",F574=0),"",(VLOOKUP(B575,'น้ำยา-เครื่อง'!$A:$AF,F574+1,FALSE))),"")</f>
        <v>0</v>
      </c>
      <c r="G575" s="66">
        <f>_xlfn.IFNA(IF(OR(G574="",G574=0),"",(VLOOKUP(B575,'น้ำยา-เครื่อง'!$A:$AF,G574+1,FALSE))),"")</f>
        <v>0</v>
      </c>
      <c r="H575" s="66">
        <f>_xlfn.IFNA(IF(OR(H574="",H574=0),"",(VLOOKUP(B575,'น้ำยา-เครื่อง'!$A:$AF,H574+1,FALSE))),"")</f>
        <v>2</v>
      </c>
      <c r="I575" s="66">
        <f>_xlfn.IFNA(IF(OR(I574="",I574=0),"",(VLOOKUP(B575,'น้ำยา-เครื่อง'!$A:$AF,I574+1,FALSE))),"")</f>
        <v>2</v>
      </c>
      <c r="J575" s="66">
        <f>_xlfn.IFNA(IF(OR(J574="",J574=0),"",(VLOOKUP(B575,'น้ำยา-เครื่อง'!$A:$AF,J574+1,FALSE))),"")</f>
        <v>2</v>
      </c>
      <c r="K575" s="66">
        <f>_xlfn.IFNA(IF(OR(K574="",K574=0),"",(VLOOKUP(B575,'น้ำยา-เครื่อง'!$A:$AF,K574+1,FALSE))),"")</f>
        <v>2</v>
      </c>
      <c r="L575" s="66">
        <f>_xlfn.IFNA(IF(OR(L574="",L574=0),"",(VLOOKUP(B575,'น้ำยา-เครื่อง'!$A:$AF,L574+1,FALSE))),"")</f>
        <v>2</v>
      </c>
      <c r="M575" s="66">
        <f>_xlfn.IFNA(IF(OR(M574="",M574=0),"",(VLOOKUP(B575,'น้ำยา-เครื่อง'!$A:$AF,M574+1,FALSE))),"")</f>
        <v>0</v>
      </c>
      <c r="N575" s="66">
        <f>_xlfn.IFNA(IF(OR(N574="",N574=0),"",(VLOOKUP(B575,'น้ำยา-เครื่อง'!$A:$AF,N574+1,FALSE))),"")</f>
        <v>0</v>
      </c>
      <c r="O575" s="66">
        <f>_xlfn.IFNA(IF(OR(O574="",O574=0),"",(VLOOKUP(B575,'น้ำยา-เครื่อง'!$A:$AF,O574+1,FALSE))),"")</f>
        <v>1</v>
      </c>
      <c r="P575" s="66">
        <f>_xlfn.IFNA(IF(OR(P574="",P574=0),"",(VLOOKUP(B575,'น้ำยา-เครื่อง'!$A:$AF,P574+1,FALSE))),"")</f>
        <v>1</v>
      </c>
      <c r="Q575" s="66">
        <f>_xlfn.IFNA(IF(OR(Q574="",Q574=0),"",(VLOOKUP(B575,'น้ำยา-เครื่อง'!$A:$AF,Q574+1,FALSE))),"")</f>
        <v>1</v>
      </c>
      <c r="R575" s="66">
        <f>_xlfn.IFNA(IF(OR(R574="",R574=0),"",(VLOOKUP(B575,'น้ำยา-เครื่อง'!$A:$AF,R574+1,FALSE))),"")</f>
        <v>1</v>
      </c>
      <c r="S575" s="66">
        <f>_xlfn.IFNA(IF(OR(S574="",S574=0),"",(VLOOKUP(B575,'น้ำยา-เครื่อง'!$A:$AF,S574+1,FALSE))),"")</f>
        <v>1</v>
      </c>
      <c r="T575" s="66">
        <f>_xlfn.IFNA(IF(OR(T574="",T574=0),"",(VLOOKUP(B575,'น้ำยา-เครื่อง'!$A:$AF,T574+1,FALSE))),"")</f>
        <v>0</v>
      </c>
      <c r="U575" s="66">
        <f>_xlfn.IFNA(IF(OR(U574="",U574=0),"",(VLOOKUP(B575,'น้ำยา-เครื่อง'!$A:$AF,U574+1,FALSE))),"")</f>
        <v>0</v>
      </c>
      <c r="V575" s="66">
        <f>_xlfn.IFNA(IF(OR(V574="",V574=0),"",(VLOOKUP(B575,'น้ำยา-เครื่อง'!$A:$AF,V574+1,FALSE))),"")</f>
        <v>2</v>
      </c>
      <c r="W575" s="66">
        <f>_xlfn.IFNA(IF(OR(W574="",W574=0),"",(VLOOKUP(B575,'น้ำยา-เครื่อง'!$A:$AF,W574+1,FALSE))),"")</f>
        <v>2</v>
      </c>
      <c r="X575" s="66">
        <f>_xlfn.IFNA(IF(OR(X574="",X574=0),"",(VLOOKUP(B575,'น้ำยา-เครื่อง'!$A:$AF,X574+1,FALSE))),"")</f>
        <v>2</v>
      </c>
      <c r="Y575" s="66">
        <f>_xlfn.IFNA(IF(OR(Y574="",Y574=0),"",(VLOOKUP(B575,'น้ำยา-เครื่อง'!$A:$AF,Y574+1,FALSE))),"")</f>
        <v>2</v>
      </c>
      <c r="Z575" s="66">
        <f>_xlfn.IFNA(IF(OR(Z574="",Z574=0),"",(VLOOKUP(B575,'น้ำยา-เครื่อง'!$A:$AF,Z574+1,FALSE))),"")</f>
        <v>2</v>
      </c>
      <c r="AA575" s="66">
        <f>_xlfn.IFNA(IF(OR(AA574="",AA574=0),"",(VLOOKUP(B575,'น้ำยา-เครื่อง'!$A:$AF,AA574+1,FALSE))),"")</f>
        <v>0</v>
      </c>
      <c r="AB575" s="66">
        <f>_xlfn.IFNA(IF(OR(AB574="",AB574=0),"",(VLOOKUP(B575,'น้ำยา-เครื่อง'!$A:$AF,AB574+1,FALSE))),"")</f>
        <v>0</v>
      </c>
      <c r="AC575" s="66">
        <f>_xlfn.IFNA(IF(OR(AC574="",AC574=0),"",(VLOOKUP(B575,'น้ำยา-เครื่อง'!$A:$AF,AC574+1,FALSE))),"")</f>
        <v>1</v>
      </c>
      <c r="AD575" s="66">
        <f>_xlfn.IFNA(IF(OR(AD574="",AD574=0),"",(VLOOKUP(B575,'น้ำยา-เครื่อง'!$A:$AF,AD574+1,FALSE))),"")</f>
        <v>1</v>
      </c>
      <c r="AE575" s="66">
        <f>_xlfn.IFNA(IF(OR(AE574="",AE574=0),"",(VLOOKUP(B575,'น้ำยา-เครื่อง'!$A:$AF,AE574+1,FALSE))),"")</f>
        <v>1</v>
      </c>
      <c r="AF575" s="66">
        <f>_xlfn.IFNA(IF(OR(AF574="",AF574=0),"",(VLOOKUP(B575,'น้ำยา-เครื่อง'!$A:$AF,AF574+1,FALSE))),"")</f>
        <v>1</v>
      </c>
      <c r="AG575" s="66">
        <f>_xlfn.IFNA(IF(OR(AG574="",AG574=0),"",(VLOOKUP(B575,'น้ำยา-เครื่อง'!$A:$AF,AG574+1,FALSE))),"")</f>
        <v>1</v>
      </c>
    </row>
    <row r="576" spans="1:33" ht="18.75" customHeight="1" x14ac:dyDescent="0.2">
      <c r="A576" s="100" t="s">
        <v>330</v>
      </c>
      <c r="B576" s="27" t="s">
        <v>5</v>
      </c>
      <c r="C576" s="65" t="str">
        <f>IF(C66="","",C66)</f>
        <v>O</v>
      </c>
      <c r="D576" s="68" t="str">
        <f t="shared" ref="D576:AG576" si="77">IF(D66="","",D66)</f>
        <v/>
      </c>
      <c r="E576" s="68" t="str">
        <f t="shared" si="77"/>
        <v/>
      </c>
      <c r="F576" s="68" t="str">
        <f t="shared" si="77"/>
        <v/>
      </c>
      <c r="G576" s="68" t="str">
        <f t="shared" si="77"/>
        <v/>
      </c>
      <c r="H576" s="68" t="str">
        <f t="shared" si="77"/>
        <v/>
      </c>
      <c r="I576" s="68" t="str">
        <f t="shared" si="77"/>
        <v>O</v>
      </c>
      <c r="J576" s="68" t="str">
        <f t="shared" si="77"/>
        <v>O</v>
      </c>
      <c r="K576" s="68" t="str">
        <f t="shared" si="77"/>
        <v>O</v>
      </c>
      <c r="L576" s="68" t="str">
        <f t="shared" si="77"/>
        <v/>
      </c>
      <c r="M576" s="68" t="str">
        <f t="shared" si="77"/>
        <v/>
      </c>
      <c r="N576" s="68" t="str">
        <f t="shared" si="77"/>
        <v/>
      </c>
      <c r="O576" s="68" t="str">
        <f t="shared" si="77"/>
        <v/>
      </c>
      <c r="P576" s="68" t="str">
        <f t="shared" si="77"/>
        <v>O</v>
      </c>
      <c r="Q576" s="68" t="str">
        <f t="shared" si="77"/>
        <v>O</v>
      </c>
      <c r="R576" s="68" t="str">
        <f t="shared" si="77"/>
        <v>O</v>
      </c>
      <c r="S576" s="68" t="str">
        <f t="shared" si="77"/>
        <v/>
      </c>
      <c r="T576" s="68" t="str">
        <f t="shared" si="77"/>
        <v/>
      </c>
      <c r="U576" s="68" t="str">
        <f t="shared" si="77"/>
        <v/>
      </c>
      <c r="V576" s="68" t="str">
        <f t="shared" si="77"/>
        <v/>
      </c>
      <c r="W576" s="68" t="str">
        <f t="shared" si="77"/>
        <v>O</v>
      </c>
      <c r="X576" s="68" t="str">
        <f t="shared" si="77"/>
        <v>O</v>
      </c>
      <c r="Y576" s="68" t="str">
        <f t="shared" si="77"/>
        <v>O</v>
      </c>
      <c r="Z576" s="68" t="str">
        <f t="shared" si="77"/>
        <v/>
      </c>
      <c r="AA576" s="68" t="str">
        <f t="shared" si="77"/>
        <v/>
      </c>
      <c r="AB576" s="68" t="str">
        <f t="shared" si="77"/>
        <v/>
      </c>
      <c r="AC576" s="68" t="str">
        <f t="shared" si="77"/>
        <v/>
      </c>
      <c r="AD576" s="68" t="str">
        <f t="shared" si="77"/>
        <v/>
      </c>
      <c r="AE576" s="68" t="str">
        <f t="shared" si="77"/>
        <v/>
      </c>
      <c r="AF576" s="68" t="str">
        <f t="shared" si="77"/>
        <v/>
      </c>
      <c r="AG576" s="68" t="str">
        <f t="shared" si="77"/>
        <v/>
      </c>
    </row>
    <row r="577" spans="1:33" ht="18" x14ac:dyDescent="0.2">
      <c r="A577" s="100"/>
      <c r="B577" s="27" t="s">
        <v>6</v>
      </c>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c r="AC577" s="66"/>
      <c r="AD577" s="66"/>
      <c r="AE577" s="66"/>
      <c r="AF577" s="66"/>
      <c r="AG577" s="66"/>
    </row>
    <row r="578" spans="1:33" ht="18" x14ac:dyDescent="0.2">
      <c r="A578" s="100"/>
      <c r="B578" s="27"/>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c r="AC578" s="66"/>
      <c r="AD578" s="66"/>
      <c r="AE578" s="66"/>
      <c r="AF578" s="66"/>
      <c r="AG578" s="66"/>
    </row>
    <row r="579" spans="1:33" ht="18.75" customHeight="1" x14ac:dyDescent="0.2">
      <c r="A579" s="100" t="s">
        <v>331</v>
      </c>
      <c r="B579" s="27" t="s">
        <v>5</v>
      </c>
      <c r="C579" s="65" t="str">
        <f>IF(C66="","",C66)</f>
        <v>O</v>
      </c>
      <c r="D579" s="68" t="str">
        <f t="shared" ref="D579:AG579" si="78">IF(D66="","",D66)</f>
        <v/>
      </c>
      <c r="E579" s="68" t="str">
        <f t="shared" si="78"/>
        <v/>
      </c>
      <c r="F579" s="68" t="str">
        <f t="shared" si="78"/>
        <v/>
      </c>
      <c r="G579" s="68" t="str">
        <f t="shared" si="78"/>
        <v/>
      </c>
      <c r="H579" s="68" t="str">
        <f t="shared" si="78"/>
        <v/>
      </c>
      <c r="I579" s="68" t="str">
        <f t="shared" si="78"/>
        <v>O</v>
      </c>
      <c r="J579" s="68" t="str">
        <f t="shared" si="78"/>
        <v>O</v>
      </c>
      <c r="K579" s="68" t="str">
        <f t="shared" si="78"/>
        <v>O</v>
      </c>
      <c r="L579" s="68" t="str">
        <f t="shared" si="78"/>
        <v/>
      </c>
      <c r="M579" s="68" t="str">
        <f t="shared" si="78"/>
        <v/>
      </c>
      <c r="N579" s="68" t="str">
        <f t="shared" si="78"/>
        <v/>
      </c>
      <c r="O579" s="68" t="str">
        <f t="shared" si="78"/>
        <v/>
      </c>
      <c r="P579" s="68" t="str">
        <f t="shared" si="78"/>
        <v>O</v>
      </c>
      <c r="Q579" s="68" t="str">
        <f t="shared" si="78"/>
        <v>O</v>
      </c>
      <c r="R579" s="68" t="str">
        <f t="shared" si="78"/>
        <v>O</v>
      </c>
      <c r="S579" s="68" t="str">
        <f t="shared" si="78"/>
        <v/>
      </c>
      <c r="T579" s="68" t="str">
        <f t="shared" si="78"/>
        <v/>
      </c>
      <c r="U579" s="68" t="str">
        <f t="shared" si="78"/>
        <v/>
      </c>
      <c r="V579" s="68" t="str">
        <f t="shared" si="78"/>
        <v/>
      </c>
      <c r="W579" s="68" t="str">
        <f t="shared" si="78"/>
        <v>O</v>
      </c>
      <c r="X579" s="68" t="str">
        <f t="shared" si="78"/>
        <v>O</v>
      </c>
      <c r="Y579" s="68" t="str">
        <f t="shared" si="78"/>
        <v>O</v>
      </c>
      <c r="Z579" s="68" t="str">
        <f t="shared" si="78"/>
        <v/>
      </c>
      <c r="AA579" s="68" t="str">
        <f t="shared" si="78"/>
        <v/>
      </c>
      <c r="AB579" s="68" t="str">
        <f t="shared" si="78"/>
        <v/>
      </c>
      <c r="AC579" s="68" t="str">
        <f t="shared" si="78"/>
        <v/>
      </c>
      <c r="AD579" s="68" t="str">
        <f t="shared" si="78"/>
        <v/>
      </c>
      <c r="AE579" s="68" t="str">
        <f t="shared" si="78"/>
        <v/>
      </c>
      <c r="AF579" s="68" t="str">
        <f t="shared" si="78"/>
        <v/>
      </c>
      <c r="AG579" s="68" t="str">
        <f t="shared" si="78"/>
        <v/>
      </c>
    </row>
    <row r="580" spans="1:33" ht="18" x14ac:dyDescent="0.2">
      <c r="A580" s="100"/>
      <c r="B580" s="27" t="s">
        <v>6</v>
      </c>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c r="AC580" s="66"/>
      <c r="AD580" s="66"/>
      <c r="AE580" s="66"/>
      <c r="AF580" s="66"/>
      <c r="AG580" s="66"/>
    </row>
    <row r="581" spans="1:33" ht="18" x14ac:dyDescent="0.2">
      <c r="A581" s="100"/>
      <c r="B581" s="27"/>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c r="AC581" s="66"/>
      <c r="AD581" s="66"/>
      <c r="AE581" s="66"/>
      <c r="AF581" s="66"/>
      <c r="AG581" s="66"/>
    </row>
    <row r="582" spans="1:33" ht="18" x14ac:dyDescent="0.2">
      <c r="A582" s="100"/>
      <c r="B582" s="27" t="s">
        <v>5</v>
      </c>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6"/>
      <c r="AC582" s="65"/>
      <c r="AD582" s="65"/>
      <c r="AE582" s="65"/>
      <c r="AF582" s="66"/>
      <c r="AG582" s="65"/>
    </row>
    <row r="583" spans="1:33" ht="18" x14ac:dyDescent="0.2">
      <c r="A583" s="100"/>
      <c r="B583" s="27" t="s">
        <v>6</v>
      </c>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c r="AC583" s="66"/>
      <c r="AD583" s="66"/>
      <c r="AE583" s="66"/>
      <c r="AF583" s="66"/>
      <c r="AG583" s="66"/>
    </row>
    <row r="584" spans="1:33" ht="18" x14ac:dyDescent="0.2">
      <c r="A584" s="100"/>
      <c r="B584" s="27"/>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c r="AC584" s="66"/>
      <c r="AD584" s="66"/>
      <c r="AE584" s="66"/>
      <c r="AF584" s="66"/>
      <c r="AG584" s="66"/>
    </row>
    <row r="585" spans="1:33" ht="18.75" customHeight="1" x14ac:dyDescent="0.2">
      <c r="A585" s="61" t="s">
        <v>0</v>
      </c>
      <c r="B585" s="21" t="s">
        <v>2</v>
      </c>
      <c r="C585" s="98" t="str">
        <f>C555</f>
        <v>เดือน สิงหาคม</v>
      </c>
      <c r="D585" s="99"/>
      <c r="E585" s="99"/>
      <c r="F585" s="99"/>
      <c r="G585" s="99"/>
      <c r="H585" s="99"/>
      <c r="I585" s="99"/>
      <c r="J585" s="99"/>
      <c r="K585" s="99"/>
      <c r="L585" s="99"/>
      <c r="M585" s="99"/>
      <c r="N585" s="99"/>
      <c r="O585" s="99"/>
      <c r="P585" s="99"/>
      <c r="Q585" s="99"/>
      <c r="R585" s="99"/>
      <c r="S585" s="99"/>
      <c r="T585" s="99"/>
      <c r="U585" s="99"/>
      <c r="V585" s="99"/>
      <c r="W585" s="99"/>
      <c r="X585" s="99"/>
      <c r="Y585" s="99"/>
      <c r="Z585" s="99"/>
      <c r="AA585" s="99"/>
      <c r="AB585" s="99"/>
      <c r="AC585" s="99"/>
      <c r="AD585" s="99"/>
      <c r="AE585" s="99"/>
      <c r="AF585" s="99"/>
      <c r="AG585" s="99"/>
    </row>
    <row r="586" spans="1:33" ht="18" x14ac:dyDescent="0.2">
      <c r="A586" s="23" t="s">
        <v>1</v>
      </c>
      <c r="B586" s="24" t="s">
        <v>3</v>
      </c>
      <c r="C586" s="66">
        <f>C556</f>
        <v>1</v>
      </c>
      <c r="D586" s="66">
        <f t="shared" ref="D586:AG586" si="79">D556</f>
        <v>2</v>
      </c>
      <c r="E586" s="66">
        <f t="shared" si="79"/>
        <v>3</v>
      </c>
      <c r="F586" s="66">
        <f t="shared" si="79"/>
        <v>4</v>
      </c>
      <c r="G586" s="66">
        <f t="shared" si="79"/>
        <v>5</v>
      </c>
      <c r="H586" s="66">
        <f t="shared" si="79"/>
        <v>6</v>
      </c>
      <c r="I586" s="66">
        <f t="shared" si="79"/>
        <v>7</v>
      </c>
      <c r="J586" s="66">
        <f t="shared" si="79"/>
        <v>8</v>
      </c>
      <c r="K586" s="66">
        <f t="shared" si="79"/>
        <v>9</v>
      </c>
      <c r="L586" s="66">
        <f t="shared" si="79"/>
        <v>10</v>
      </c>
      <c r="M586" s="66">
        <f t="shared" si="79"/>
        <v>11</v>
      </c>
      <c r="N586" s="66">
        <f t="shared" si="79"/>
        <v>12</v>
      </c>
      <c r="O586" s="66">
        <f t="shared" si="79"/>
        <v>13</v>
      </c>
      <c r="P586" s="66">
        <f t="shared" si="79"/>
        <v>14</v>
      </c>
      <c r="Q586" s="66">
        <f t="shared" si="79"/>
        <v>15</v>
      </c>
      <c r="R586" s="66">
        <f t="shared" si="79"/>
        <v>16</v>
      </c>
      <c r="S586" s="66">
        <f t="shared" si="79"/>
        <v>17</v>
      </c>
      <c r="T586" s="66">
        <f t="shared" si="79"/>
        <v>18</v>
      </c>
      <c r="U586" s="66">
        <f t="shared" si="79"/>
        <v>19</v>
      </c>
      <c r="V586" s="66">
        <f t="shared" si="79"/>
        <v>20</v>
      </c>
      <c r="W586" s="66">
        <f t="shared" si="79"/>
        <v>21</v>
      </c>
      <c r="X586" s="66">
        <f t="shared" si="79"/>
        <v>22</v>
      </c>
      <c r="Y586" s="66">
        <f t="shared" si="79"/>
        <v>23</v>
      </c>
      <c r="Z586" s="66">
        <f t="shared" si="79"/>
        <v>24</v>
      </c>
      <c r="AA586" s="66">
        <f t="shared" si="79"/>
        <v>25</v>
      </c>
      <c r="AB586" s="66">
        <f t="shared" si="79"/>
        <v>26</v>
      </c>
      <c r="AC586" s="66">
        <f t="shared" si="79"/>
        <v>27</v>
      </c>
      <c r="AD586" s="66">
        <f t="shared" si="79"/>
        <v>28</v>
      </c>
      <c r="AE586" s="66">
        <f t="shared" si="79"/>
        <v>29</v>
      </c>
      <c r="AF586" s="66">
        <f t="shared" si="79"/>
        <v>30</v>
      </c>
      <c r="AG586" s="66">
        <f t="shared" si="79"/>
        <v>0</v>
      </c>
    </row>
    <row r="587" spans="1:33" ht="18" x14ac:dyDescent="0.2">
      <c r="A587" s="25"/>
      <c r="B587" s="26" t="s">
        <v>4</v>
      </c>
      <c r="C587" s="66">
        <f>_xlfn.IFNA(IF(OR(C586="",C586=0),"",(VLOOKUP($B587,'น้ำยา-เครื่อง'!$A$14:$AF$23,C586+1,FALSE))),"")</f>
        <v>0</v>
      </c>
      <c r="D587" s="66">
        <f>_xlfn.IFNA(IF(OR(D586="",D586=0),"",(VLOOKUP($B587,'น้ำยา-เครื่อง'!$A$14:$AF$23,D586+1,FALSE))),"")</f>
        <v>0</v>
      </c>
      <c r="E587" s="66">
        <f>_xlfn.IFNA(IF(OR(E586="",E586=0),"",(VLOOKUP($B587,'น้ำยา-เครื่อง'!$A$14:$AF$23,E586+1,FALSE))),"")</f>
        <v>2</v>
      </c>
      <c r="F587" s="66">
        <f>_xlfn.IFNA(IF(OR(F586="",F586=0),"",(VLOOKUP($B587,'น้ำยา-เครื่อง'!$A$14:$AF$23,F586+1,FALSE))),"")</f>
        <v>2</v>
      </c>
      <c r="G587" s="66">
        <f>_xlfn.IFNA(IF(OR(G586="",G586=0),"",(VLOOKUP($B587,'น้ำยา-เครื่อง'!$A$14:$AF$23,G586+1,FALSE))),"")</f>
        <v>2</v>
      </c>
      <c r="H587" s="66">
        <f>_xlfn.IFNA(IF(OR(H586="",H586=0),"",(VLOOKUP($B587,'น้ำยา-เครื่อง'!$A$14:$AF$23,H586+1,FALSE))),"")</f>
        <v>2</v>
      </c>
      <c r="I587" s="66">
        <f>_xlfn.IFNA(IF(OR(I586="",I586=0),"",(VLOOKUP($B587,'น้ำยา-เครื่อง'!$A$14:$AF$23,I586+1,FALSE))),"")</f>
        <v>2</v>
      </c>
      <c r="J587" s="66">
        <f>_xlfn.IFNA(IF(OR(J586="",J586=0),"",(VLOOKUP($B587,'น้ำยา-เครื่อง'!$A$14:$AF$23,J586+1,FALSE))),"")</f>
        <v>0</v>
      </c>
      <c r="K587" s="66">
        <f>_xlfn.IFNA(IF(OR(K586="",K586=0),"",(VLOOKUP($B587,'น้ำยา-เครื่อง'!$A$14:$AF$23,K586+1,FALSE))),"")</f>
        <v>0</v>
      </c>
      <c r="L587" s="66">
        <f>_xlfn.IFNA(IF(OR(L586="",L586=0),"",(VLOOKUP($B587,'น้ำยา-เครื่อง'!$A$14:$AF$23,L586+1,FALSE))),"")</f>
        <v>1</v>
      </c>
      <c r="M587" s="66">
        <f>_xlfn.IFNA(IF(OR(M586="",M586=0),"",(VLOOKUP($B587,'น้ำยา-เครื่อง'!$A$14:$AF$23,M586+1,FALSE))),"")</f>
        <v>1</v>
      </c>
      <c r="N587" s="66">
        <f>_xlfn.IFNA(IF(OR(N586="",N586=0),"",(VLOOKUP($B587,'น้ำยา-เครื่อง'!$A$14:$AF$23,N586+1,FALSE))),"")</f>
        <v>1</v>
      </c>
      <c r="O587" s="66">
        <f>_xlfn.IFNA(IF(OR(O586="",O586=0),"",(VLOOKUP($B587,'น้ำยา-เครื่อง'!$A$14:$AF$23,O586+1,FALSE))),"")</f>
        <v>1</v>
      </c>
      <c r="P587" s="66">
        <f>_xlfn.IFNA(IF(OR(P586="",P586=0),"",(VLOOKUP($B587,'น้ำยา-เครื่อง'!$A$14:$AF$23,P586+1,FALSE))),"")</f>
        <v>1</v>
      </c>
      <c r="Q587" s="66">
        <f>_xlfn.IFNA(IF(OR(Q586="",Q586=0),"",(VLOOKUP($B587,'น้ำยา-เครื่อง'!$A$14:$AF$23,Q586+1,FALSE))),"")</f>
        <v>0</v>
      </c>
      <c r="R587" s="66">
        <f>_xlfn.IFNA(IF(OR(R586="",R586=0),"",(VLOOKUP($B587,'น้ำยา-เครื่อง'!$A$14:$AF$23,R586+1,FALSE))),"")</f>
        <v>0</v>
      </c>
      <c r="S587" s="66">
        <f>_xlfn.IFNA(IF(OR(S586="",S586=0),"",(VLOOKUP($B587,'น้ำยา-เครื่อง'!$A$14:$AF$23,S586+1,FALSE))),"")</f>
        <v>2</v>
      </c>
      <c r="T587" s="66">
        <f>_xlfn.IFNA(IF(OR(T586="",T586=0),"",(VLOOKUP($B587,'น้ำยา-เครื่อง'!$A$14:$AF$23,T586+1,FALSE))),"")</f>
        <v>2</v>
      </c>
      <c r="U587" s="66">
        <f>_xlfn.IFNA(IF(OR(U586="",U586=0),"",(VLOOKUP($B587,'น้ำยา-เครื่อง'!$A$14:$AF$23,U586+1,FALSE))),"")</f>
        <v>2</v>
      </c>
      <c r="V587" s="66">
        <f>_xlfn.IFNA(IF(OR(V586="",V586=0),"",(VLOOKUP($B587,'น้ำยา-เครื่อง'!$A$14:$AF$23,V586+1,FALSE))),"")</f>
        <v>2</v>
      </c>
      <c r="W587" s="66">
        <f>_xlfn.IFNA(IF(OR(W586="",W586=0),"",(VLOOKUP($B587,'น้ำยา-เครื่อง'!$A$14:$AF$23,W586+1,FALSE))),"")</f>
        <v>2</v>
      </c>
      <c r="X587" s="66">
        <f>_xlfn.IFNA(IF(OR(X586="",X586=0),"",(VLOOKUP($B587,'น้ำยา-เครื่อง'!$A$14:$AF$23,X586+1,FALSE))),"")</f>
        <v>0</v>
      </c>
      <c r="Y587" s="66">
        <f>_xlfn.IFNA(IF(OR(Y586="",Y586=0),"",(VLOOKUP($B587,'น้ำยา-เครื่อง'!$A$14:$AF$23,Y586+1,FALSE))),"")</f>
        <v>0</v>
      </c>
      <c r="Z587" s="66">
        <f>_xlfn.IFNA(IF(OR(Z586="",Z586=0),"",(VLOOKUP($B587,'น้ำยา-เครื่อง'!$A$14:$AF$23,Z586+1,FALSE))),"")</f>
        <v>1</v>
      </c>
      <c r="AA587" s="66">
        <f>_xlfn.IFNA(IF(OR(AA586="",AA586=0),"",(VLOOKUP($B587,'น้ำยา-เครื่อง'!$A$14:$AF$23,AA586+1,FALSE))),"")</f>
        <v>1</v>
      </c>
      <c r="AB587" s="66">
        <f>_xlfn.IFNA(IF(OR(AB586="",AB586=0),"",(VLOOKUP($B587,'น้ำยา-เครื่อง'!$A$14:$AF$23,AB586+1,FALSE))),"")</f>
        <v>1</v>
      </c>
      <c r="AC587" s="66">
        <f>_xlfn.IFNA(IF(OR(AC586="",AC586=0),"",(VLOOKUP($B587,'น้ำยา-เครื่อง'!$A$14:$AF$23,AC586+1,FALSE))),"")</f>
        <v>1</v>
      </c>
      <c r="AD587" s="66">
        <f>_xlfn.IFNA(IF(OR(AD586="",AD586=0),"",(VLOOKUP($B587,'น้ำยา-เครื่อง'!$A$14:$AF$23,AD586+1,FALSE))),"")</f>
        <v>1</v>
      </c>
      <c r="AE587" s="66">
        <f>_xlfn.IFNA(IF(OR(AE586="",AE586=0),"",(VLOOKUP($B587,'น้ำยา-เครื่อง'!$A$14:$AF$23,AE586+1,FALSE))),"")</f>
        <v>0</v>
      </c>
      <c r="AF587" s="66">
        <f>_xlfn.IFNA(IF(OR(AF586="",AF586=0),"",(VLOOKUP($B587,'น้ำยา-เครื่อง'!$A$14:$AF$23,AF586+1,FALSE))),"")</f>
        <v>0</v>
      </c>
      <c r="AG587" s="66" t="str">
        <f>_xlfn.IFNA(IF(OR(AG586="",AG586=0),"",(VLOOKUP($B587,'น้ำยา-เครื่อง'!$A$14:$AF$23,AG586+1,FALSE))),"")</f>
        <v/>
      </c>
    </row>
    <row r="588" spans="1:33" ht="18.75" customHeight="1" x14ac:dyDescent="0.2">
      <c r="A588" s="100" t="s">
        <v>330</v>
      </c>
      <c r="B588" s="27" t="s">
        <v>5</v>
      </c>
      <c r="C588" s="65" t="str">
        <f>IF(C78="","",C78)</f>
        <v/>
      </c>
      <c r="D588" s="65" t="str">
        <f t="shared" ref="D588:AG588" si="80">IF(D78="","",D78)</f>
        <v/>
      </c>
      <c r="E588" s="65" t="str">
        <f t="shared" si="80"/>
        <v/>
      </c>
      <c r="F588" s="65" t="str">
        <f t="shared" si="80"/>
        <v>O</v>
      </c>
      <c r="G588" s="65" t="str">
        <f t="shared" si="80"/>
        <v>O</v>
      </c>
      <c r="H588" s="65" t="str">
        <f t="shared" si="80"/>
        <v>O</v>
      </c>
      <c r="I588" s="65" t="str">
        <f t="shared" si="80"/>
        <v/>
      </c>
      <c r="J588" s="65" t="str">
        <f t="shared" si="80"/>
        <v/>
      </c>
      <c r="K588" s="65" t="str">
        <f t="shared" si="80"/>
        <v/>
      </c>
      <c r="L588" s="65" t="str">
        <f t="shared" si="80"/>
        <v/>
      </c>
      <c r="M588" s="65" t="str">
        <f t="shared" si="80"/>
        <v/>
      </c>
      <c r="N588" s="65" t="str">
        <f t="shared" si="80"/>
        <v/>
      </c>
      <c r="O588" s="65" t="str">
        <f t="shared" si="80"/>
        <v>O</v>
      </c>
      <c r="P588" s="65" t="str">
        <f t="shared" si="80"/>
        <v>O</v>
      </c>
      <c r="Q588" s="65" t="str">
        <f t="shared" si="80"/>
        <v/>
      </c>
      <c r="R588" s="65" t="str">
        <f t="shared" si="80"/>
        <v/>
      </c>
      <c r="S588" s="65" t="str">
        <f t="shared" si="80"/>
        <v/>
      </c>
      <c r="T588" s="65" t="str">
        <f t="shared" si="80"/>
        <v>O</v>
      </c>
      <c r="U588" s="65" t="str">
        <f t="shared" si="80"/>
        <v>O</v>
      </c>
      <c r="V588" s="65" t="str">
        <f t="shared" si="80"/>
        <v>O</v>
      </c>
      <c r="W588" s="65" t="str">
        <f t="shared" si="80"/>
        <v/>
      </c>
      <c r="X588" s="65" t="str">
        <f t="shared" si="80"/>
        <v/>
      </c>
      <c r="Y588" s="65" t="str">
        <f t="shared" si="80"/>
        <v/>
      </c>
      <c r="Z588" s="65" t="str">
        <f t="shared" si="80"/>
        <v/>
      </c>
      <c r="AA588" s="65" t="str">
        <f t="shared" si="80"/>
        <v>O</v>
      </c>
      <c r="AB588" s="65" t="str">
        <f t="shared" si="80"/>
        <v>O</v>
      </c>
      <c r="AC588" s="65" t="str">
        <f t="shared" si="80"/>
        <v/>
      </c>
      <c r="AD588" s="65" t="str">
        <f t="shared" si="80"/>
        <v/>
      </c>
      <c r="AE588" s="65" t="str">
        <f t="shared" si="80"/>
        <v/>
      </c>
      <c r="AF588" s="65" t="str">
        <f t="shared" si="80"/>
        <v/>
      </c>
      <c r="AG588" s="65" t="str">
        <f t="shared" si="80"/>
        <v/>
      </c>
    </row>
    <row r="589" spans="1:33" ht="18" x14ac:dyDescent="0.2">
      <c r="A589" s="100"/>
      <c r="B589" s="27" t="s">
        <v>6</v>
      </c>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c r="AC589" s="66"/>
      <c r="AD589" s="66"/>
      <c r="AE589" s="66"/>
      <c r="AF589" s="66"/>
      <c r="AG589" s="66"/>
    </row>
    <row r="590" spans="1:33" ht="18" x14ac:dyDescent="0.2">
      <c r="A590" s="100"/>
      <c r="B590" s="27"/>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c r="AC590" s="66"/>
      <c r="AD590" s="66"/>
      <c r="AE590" s="66"/>
      <c r="AF590" s="66"/>
      <c r="AG590" s="66"/>
    </row>
    <row r="591" spans="1:33" ht="18.75" customHeight="1" x14ac:dyDescent="0.2">
      <c r="A591" s="100" t="s">
        <v>331</v>
      </c>
      <c r="B591" s="27" t="s">
        <v>5</v>
      </c>
      <c r="C591" s="65" t="str">
        <f>IF(C78="","",C78)</f>
        <v/>
      </c>
      <c r="D591" s="65" t="str">
        <f t="shared" ref="D591:AG591" si="81">IF(D78="","",D78)</f>
        <v/>
      </c>
      <c r="E591" s="65" t="str">
        <f t="shared" si="81"/>
        <v/>
      </c>
      <c r="F591" s="65" t="str">
        <f t="shared" si="81"/>
        <v>O</v>
      </c>
      <c r="G591" s="65" t="str">
        <f t="shared" si="81"/>
        <v>O</v>
      </c>
      <c r="H591" s="65" t="str">
        <f t="shared" si="81"/>
        <v>O</v>
      </c>
      <c r="I591" s="65" t="str">
        <f t="shared" si="81"/>
        <v/>
      </c>
      <c r="J591" s="65" t="str">
        <f t="shared" si="81"/>
        <v/>
      </c>
      <c r="K591" s="65" t="str">
        <f t="shared" si="81"/>
        <v/>
      </c>
      <c r="L591" s="65" t="str">
        <f t="shared" si="81"/>
        <v/>
      </c>
      <c r="M591" s="65" t="str">
        <f t="shared" si="81"/>
        <v/>
      </c>
      <c r="N591" s="65" t="str">
        <f t="shared" si="81"/>
        <v/>
      </c>
      <c r="O591" s="65" t="str">
        <f t="shared" si="81"/>
        <v>O</v>
      </c>
      <c r="P591" s="65" t="str">
        <f t="shared" si="81"/>
        <v>O</v>
      </c>
      <c r="Q591" s="65" t="str">
        <f t="shared" si="81"/>
        <v/>
      </c>
      <c r="R591" s="65" t="str">
        <f t="shared" si="81"/>
        <v/>
      </c>
      <c r="S591" s="65" t="str">
        <f t="shared" si="81"/>
        <v/>
      </c>
      <c r="T591" s="65" t="str">
        <f t="shared" si="81"/>
        <v>O</v>
      </c>
      <c r="U591" s="65" t="str">
        <f t="shared" si="81"/>
        <v>O</v>
      </c>
      <c r="V591" s="65" t="str">
        <f t="shared" si="81"/>
        <v>O</v>
      </c>
      <c r="W591" s="65" t="str">
        <f t="shared" si="81"/>
        <v/>
      </c>
      <c r="X591" s="65" t="str">
        <f t="shared" si="81"/>
        <v/>
      </c>
      <c r="Y591" s="65" t="str">
        <f t="shared" si="81"/>
        <v/>
      </c>
      <c r="Z591" s="65" t="str">
        <f t="shared" si="81"/>
        <v/>
      </c>
      <c r="AA591" s="65" t="str">
        <f t="shared" si="81"/>
        <v>O</v>
      </c>
      <c r="AB591" s="65" t="str">
        <f t="shared" si="81"/>
        <v>O</v>
      </c>
      <c r="AC591" s="65" t="str">
        <f t="shared" si="81"/>
        <v/>
      </c>
      <c r="AD591" s="65" t="str">
        <f t="shared" si="81"/>
        <v/>
      </c>
      <c r="AE591" s="65" t="str">
        <f t="shared" si="81"/>
        <v/>
      </c>
      <c r="AF591" s="65" t="str">
        <f t="shared" si="81"/>
        <v/>
      </c>
      <c r="AG591" s="65" t="str">
        <f t="shared" si="81"/>
        <v/>
      </c>
    </row>
    <row r="592" spans="1:33" ht="18" x14ac:dyDescent="0.2">
      <c r="A592" s="100"/>
      <c r="B592" s="27" t="s">
        <v>6</v>
      </c>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c r="AC592" s="66"/>
      <c r="AD592" s="66"/>
      <c r="AE592" s="66"/>
      <c r="AF592" s="66"/>
      <c r="AG592" s="66"/>
    </row>
    <row r="593" spans="1:33" ht="18" x14ac:dyDescent="0.2">
      <c r="A593" s="100"/>
      <c r="B593" s="27"/>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c r="AC593" s="66"/>
      <c r="AD593" s="66"/>
      <c r="AE593" s="66"/>
      <c r="AF593" s="66"/>
      <c r="AG593" s="66"/>
    </row>
    <row r="594" spans="1:33" ht="18.75" customHeight="1" x14ac:dyDescent="0.2">
      <c r="A594" s="100"/>
      <c r="B594" s="27" t="s">
        <v>5</v>
      </c>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6"/>
      <c r="AC594" s="65"/>
      <c r="AD594" s="65"/>
      <c r="AE594" s="65"/>
      <c r="AF594" s="66"/>
      <c r="AG594" s="65"/>
    </row>
    <row r="595" spans="1:33" ht="18" x14ac:dyDescent="0.2">
      <c r="A595" s="100"/>
      <c r="B595" s="27" t="s">
        <v>6</v>
      </c>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c r="AC595" s="66"/>
      <c r="AD595" s="66"/>
      <c r="AE595" s="66"/>
      <c r="AF595" s="66"/>
      <c r="AG595" s="66"/>
    </row>
    <row r="596" spans="1:33" ht="18" x14ac:dyDescent="0.2">
      <c r="A596" s="100"/>
      <c r="B596" s="27"/>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c r="AC596" s="66"/>
      <c r="AD596" s="66"/>
      <c r="AE596" s="66"/>
      <c r="AF596" s="66"/>
      <c r="AG596" s="66"/>
    </row>
    <row r="597" spans="1:33" ht="18" x14ac:dyDescent="0.4">
      <c r="A597" s="4" t="s">
        <v>219</v>
      </c>
      <c r="B597" s="4"/>
      <c r="C597" s="4"/>
      <c r="D597" s="4"/>
      <c r="E597" s="4"/>
      <c r="F597" s="4"/>
      <c r="G597" s="4"/>
      <c r="H597" s="4"/>
      <c r="I597" s="4"/>
      <c r="J597" s="4"/>
      <c r="K597" s="4"/>
      <c r="L597" s="4"/>
      <c r="M597" s="4"/>
      <c r="N597" s="4"/>
      <c r="O597" s="4"/>
      <c r="P597" s="4"/>
      <c r="Q597" s="4"/>
      <c r="R597" s="4"/>
      <c r="S597" s="4"/>
      <c r="T597" s="4"/>
      <c r="U597" s="62"/>
      <c r="V597" s="62"/>
      <c r="W597" s="71" t="s">
        <v>186</v>
      </c>
      <c r="X597" s="71"/>
      <c r="Y597" s="71"/>
      <c r="Z597" s="71"/>
      <c r="AA597" s="71"/>
      <c r="AB597" s="71"/>
      <c r="AC597" s="71"/>
      <c r="AD597" s="62"/>
      <c r="AE597" s="62"/>
      <c r="AF597" s="62"/>
      <c r="AG597" s="62"/>
    </row>
    <row r="598" spans="1:33" ht="18" x14ac:dyDescent="0.4">
      <c r="A598" s="7"/>
      <c r="B598" s="7"/>
      <c r="C598" s="7"/>
      <c r="D598" s="7"/>
      <c r="E598" s="7"/>
      <c r="F598" s="7"/>
      <c r="G598" s="7"/>
      <c r="H598" s="7"/>
      <c r="I598" s="7"/>
      <c r="J598" s="7"/>
      <c r="K598" s="7"/>
      <c r="L598" s="7"/>
      <c r="M598" s="7"/>
      <c r="N598" s="7"/>
      <c r="O598" s="7"/>
      <c r="P598" s="7"/>
      <c r="Q598" s="7"/>
      <c r="R598" s="7"/>
      <c r="S598" s="7"/>
      <c r="T598" s="7"/>
      <c r="U598" s="38"/>
      <c r="V598" s="38"/>
      <c r="W598" s="7"/>
      <c r="X598" s="7"/>
      <c r="Y598" s="7"/>
      <c r="Z598" s="7"/>
      <c r="AA598" s="7"/>
      <c r="AB598" s="7"/>
      <c r="AC598" s="7"/>
      <c r="AD598" s="7"/>
      <c r="AE598" s="7"/>
      <c r="AF598" s="7"/>
      <c r="AG598" s="7"/>
    </row>
    <row r="599" spans="1:33" ht="18" x14ac:dyDescent="0.4">
      <c r="A599" s="9"/>
      <c r="B599" s="9"/>
      <c r="C599" s="9"/>
      <c r="D599" s="9"/>
      <c r="E599" s="9"/>
      <c r="F599" s="9"/>
      <c r="G599" s="9"/>
      <c r="H599" s="9"/>
      <c r="I599" s="9"/>
      <c r="J599" s="9"/>
      <c r="K599" s="9"/>
      <c r="L599" s="9"/>
      <c r="M599" s="9"/>
      <c r="N599" s="9"/>
      <c r="O599" s="9"/>
      <c r="P599" s="72" t="s">
        <v>28</v>
      </c>
      <c r="Q599" s="72"/>
      <c r="R599" s="73" t="str">
        <f>R569</f>
        <v>พีรวัส</v>
      </c>
      <c r="S599" s="73"/>
      <c r="T599" s="73"/>
      <c r="U599" s="97" t="s">
        <v>221</v>
      </c>
      <c r="V599" s="97"/>
      <c r="W599" s="73" t="str">
        <f>W569</f>
        <v>วรพงศ์</v>
      </c>
      <c r="X599" s="73"/>
      <c r="Y599" s="73"/>
      <c r="Z599" s="63" t="s">
        <v>29</v>
      </c>
      <c r="AA599" s="74">
        <f>AA569</f>
        <v>46204</v>
      </c>
      <c r="AB599" s="74"/>
      <c r="AC599" s="74"/>
      <c r="AD599" s="9"/>
      <c r="AE599" s="73"/>
      <c r="AF599" s="73"/>
      <c r="AG599" s="73"/>
    </row>
    <row r="600" spans="1:33" ht="17.850000000000001" customHeight="1" x14ac:dyDescent="0.2"/>
  </sheetData>
  <mergeCells count="440">
    <mergeCell ref="A579:A581"/>
    <mergeCell ref="A582:A584"/>
    <mergeCell ref="C585:AG585"/>
    <mergeCell ref="A588:A590"/>
    <mergeCell ref="A591:A593"/>
    <mergeCell ref="A594:A596"/>
    <mergeCell ref="W597:AC597"/>
    <mergeCell ref="P599:Q599"/>
    <mergeCell ref="R599:T599"/>
    <mergeCell ref="U599:V599"/>
    <mergeCell ref="W599:Y599"/>
    <mergeCell ref="AA599:AC599"/>
    <mergeCell ref="AE599:AG599"/>
    <mergeCell ref="A571:AG571"/>
    <mergeCell ref="B572:G572"/>
    <mergeCell ref="I572:L572"/>
    <mergeCell ref="M572:N572"/>
    <mergeCell ref="O572:S572"/>
    <mergeCell ref="U572:V572"/>
    <mergeCell ref="W572:Y572"/>
    <mergeCell ref="C573:AG573"/>
    <mergeCell ref="A576:A578"/>
    <mergeCell ref="A162:A164"/>
    <mergeCell ref="C165:AG165"/>
    <mergeCell ref="A168:A170"/>
    <mergeCell ref="A171:A173"/>
    <mergeCell ref="A174:A176"/>
    <mergeCell ref="W177:AC177"/>
    <mergeCell ref="P179:Q179"/>
    <mergeCell ref="R179:T179"/>
    <mergeCell ref="U179:V179"/>
    <mergeCell ref="W179:Y179"/>
    <mergeCell ref="AA179:AC179"/>
    <mergeCell ref="AE179:AG179"/>
    <mergeCell ref="A369:A371"/>
    <mergeCell ref="A372:A374"/>
    <mergeCell ref="C375:AG375"/>
    <mergeCell ref="A378:A380"/>
    <mergeCell ref="A381:A383"/>
    <mergeCell ref="A384:A386"/>
    <mergeCell ref="W387:AC387"/>
    <mergeCell ref="P389:Q389"/>
    <mergeCell ref="R389:T389"/>
    <mergeCell ref="U389:V389"/>
    <mergeCell ref="W389:Y389"/>
    <mergeCell ref="AA389:AC389"/>
    <mergeCell ref="AE389:AG389"/>
    <mergeCell ref="A361:AG361"/>
    <mergeCell ref="B362:G362"/>
    <mergeCell ref="I362:L362"/>
    <mergeCell ref="M362:N362"/>
    <mergeCell ref="O362:S362"/>
    <mergeCell ref="U362:V362"/>
    <mergeCell ref="W362:Y362"/>
    <mergeCell ref="C363:AG363"/>
    <mergeCell ref="A366:A368"/>
    <mergeCell ref="C453:AG453"/>
    <mergeCell ref="A456:A458"/>
    <mergeCell ref="A459:A461"/>
    <mergeCell ref="A462:A464"/>
    <mergeCell ref="C465:AG465"/>
    <mergeCell ref="AE479:AG479"/>
    <mergeCell ref="A468:A470"/>
    <mergeCell ref="A471:A473"/>
    <mergeCell ref="A474:A476"/>
    <mergeCell ref="W477:AC477"/>
    <mergeCell ref="P479:Q479"/>
    <mergeCell ref="R479:T479"/>
    <mergeCell ref="U479:V479"/>
    <mergeCell ref="W479:Y479"/>
    <mergeCell ref="AA479:AC479"/>
    <mergeCell ref="AE269:AG269"/>
    <mergeCell ref="A261:A263"/>
    <mergeCell ref="A264:A266"/>
    <mergeCell ref="W267:AC267"/>
    <mergeCell ref="P269:Q269"/>
    <mergeCell ref="R269:T269"/>
    <mergeCell ref="U269:V269"/>
    <mergeCell ref="W269:Y269"/>
    <mergeCell ref="AA269:AC269"/>
    <mergeCell ref="C243:AG243"/>
    <mergeCell ref="A246:A248"/>
    <mergeCell ref="A249:A251"/>
    <mergeCell ref="A252:A254"/>
    <mergeCell ref="C255:AG255"/>
    <mergeCell ref="A258:A260"/>
    <mergeCell ref="AE239:AG239"/>
    <mergeCell ref="A241:AG241"/>
    <mergeCell ref="B242:G242"/>
    <mergeCell ref="I242:L242"/>
    <mergeCell ref="M242:N242"/>
    <mergeCell ref="O242:S242"/>
    <mergeCell ref="U242:V242"/>
    <mergeCell ref="W242:Y242"/>
    <mergeCell ref="A231:A233"/>
    <mergeCell ref="A234:A236"/>
    <mergeCell ref="W237:AC237"/>
    <mergeCell ref="P239:Q239"/>
    <mergeCell ref="R239:T239"/>
    <mergeCell ref="U239:V239"/>
    <mergeCell ref="W239:Y239"/>
    <mergeCell ref="AA239:AC239"/>
    <mergeCell ref="C213:AG213"/>
    <mergeCell ref="A216:A218"/>
    <mergeCell ref="A219:A221"/>
    <mergeCell ref="A222:A224"/>
    <mergeCell ref="C225:AG225"/>
    <mergeCell ref="A228:A230"/>
    <mergeCell ref="A211:AG211"/>
    <mergeCell ref="B212:G212"/>
    <mergeCell ref="I212:L212"/>
    <mergeCell ref="M212:N212"/>
    <mergeCell ref="O212:S212"/>
    <mergeCell ref="U212:V212"/>
    <mergeCell ref="W212:Y212"/>
    <mergeCell ref="A181:AG181"/>
    <mergeCell ref="B182:G182"/>
    <mergeCell ref="I182:L182"/>
    <mergeCell ref="M182:N182"/>
    <mergeCell ref="O182:S182"/>
    <mergeCell ref="U182:V182"/>
    <mergeCell ref="W182:Y182"/>
    <mergeCell ref="A201:A203"/>
    <mergeCell ref="A204:A206"/>
    <mergeCell ref="W207:AC207"/>
    <mergeCell ref="P209:Q209"/>
    <mergeCell ref="R209:T209"/>
    <mergeCell ref="U209:V209"/>
    <mergeCell ref="W209:Y209"/>
    <mergeCell ref="AA209:AC209"/>
    <mergeCell ref="C183:AG183"/>
    <mergeCell ref="C195:AG195"/>
    <mergeCell ref="AE209:AG209"/>
    <mergeCell ref="A186:A188"/>
    <mergeCell ref="A189:A191"/>
    <mergeCell ref="A192:A194"/>
    <mergeCell ref="A198:A200"/>
    <mergeCell ref="AE149:AG149"/>
    <mergeCell ref="A141:A143"/>
    <mergeCell ref="A144:A146"/>
    <mergeCell ref="W147:AC147"/>
    <mergeCell ref="P149:Q149"/>
    <mergeCell ref="R149:T149"/>
    <mergeCell ref="U149:V149"/>
    <mergeCell ref="W149:Y149"/>
    <mergeCell ref="AA149:AC149"/>
    <mergeCell ref="A151:AG151"/>
    <mergeCell ref="B152:G152"/>
    <mergeCell ref="I152:L152"/>
    <mergeCell ref="M152:N152"/>
    <mergeCell ref="O152:S152"/>
    <mergeCell ref="U152:V152"/>
    <mergeCell ref="W152:Y152"/>
    <mergeCell ref="C153:AG153"/>
    <mergeCell ref="A156:A158"/>
    <mergeCell ref="A159:A161"/>
    <mergeCell ref="C123:AG123"/>
    <mergeCell ref="A126:A128"/>
    <mergeCell ref="A129:A131"/>
    <mergeCell ref="A132:A134"/>
    <mergeCell ref="C135:AG135"/>
    <mergeCell ref="A138:A140"/>
    <mergeCell ref="A121:AG121"/>
    <mergeCell ref="B122:G122"/>
    <mergeCell ref="I122:L122"/>
    <mergeCell ref="M122:N122"/>
    <mergeCell ref="O122:S122"/>
    <mergeCell ref="U122:V122"/>
    <mergeCell ref="W122:Y122"/>
    <mergeCell ref="AE119:AG119"/>
    <mergeCell ref="A111:A113"/>
    <mergeCell ref="A114:A116"/>
    <mergeCell ref="W117:AC117"/>
    <mergeCell ref="P119:Q119"/>
    <mergeCell ref="R119:T119"/>
    <mergeCell ref="U119:V119"/>
    <mergeCell ref="W119:Y119"/>
    <mergeCell ref="AA119:AC119"/>
    <mergeCell ref="C93:AG93"/>
    <mergeCell ref="A96:A98"/>
    <mergeCell ref="A99:A101"/>
    <mergeCell ref="A102:A104"/>
    <mergeCell ref="C105:AG105"/>
    <mergeCell ref="A108:A110"/>
    <mergeCell ref="AE89:AG89"/>
    <mergeCell ref="A91:AG91"/>
    <mergeCell ref="B92:G92"/>
    <mergeCell ref="I92:L92"/>
    <mergeCell ref="M92:N92"/>
    <mergeCell ref="O92:S92"/>
    <mergeCell ref="U92:V92"/>
    <mergeCell ref="W92:Y92"/>
    <mergeCell ref="A81:A83"/>
    <mergeCell ref="A84:A86"/>
    <mergeCell ref="W87:AC87"/>
    <mergeCell ref="P89:Q89"/>
    <mergeCell ref="R89:T89"/>
    <mergeCell ref="U89:V89"/>
    <mergeCell ref="W89:Y89"/>
    <mergeCell ref="AA89:AC89"/>
    <mergeCell ref="C63:AG63"/>
    <mergeCell ref="A66:A68"/>
    <mergeCell ref="A69:A71"/>
    <mergeCell ref="A72:A74"/>
    <mergeCell ref="C75:AG75"/>
    <mergeCell ref="A78:A80"/>
    <mergeCell ref="A1:AG1"/>
    <mergeCell ref="A61:AG61"/>
    <mergeCell ref="B62:G62"/>
    <mergeCell ref="I62:L62"/>
    <mergeCell ref="M62:N62"/>
    <mergeCell ref="O62:S62"/>
    <mergeCell ref="U62:V62"/>
    <mergeCell ref="W62:Y62"/>
    <mergeCell ref="AE59:AG59"/>
    <mergeCell ref="U2:V2"/>
    <mergeCell ref="W2:Y2"/>
    <mergeCell ref="I32:L32"/>
    <mergeCell ref="M32:N32"/>
    <mergeCell ref="O32:S32"/>
    <mergeCell ref="U32:V32"/>
    <mergeCell ref="W32:Y32"/>
    <mergeCell ref="A51:A53"/>
    <mergeCell ref="A54:A56"/>
    <mergeCell ref="W57:AC57"/>
    <mergeCell ref="P59:Q59"/>
    <mergeCell ref="R59:T59"/>
    <mergeCell ref="U59:V59"/>
    <mergeCell ref="W59:Y59"/>
    <mergeCell ref="AA59:AC59"/>
    <mergeCell ref="A48:A50"/>
    <mergeCell ref="B32:G32"/>
    <mergeCell ref="A31:AG31"/>
    <mergeCell ref="C3:AG3"/>
    <mergeCell ref="C15:AG15"/>
    <mergeCell ref="A18:A20"/>
    <mergeCell ref="A21:A23"/>
    <mergeCell ref="A24:A26"/>
    <mergeCell ref="AE29:AG29"/>
    <mergeCell ref="W27:AC27"/>
    <mergeCell ref="P29:Q29"/>
    <mergeCell ref="R29:T29"/>
    <mergeCell ref="U29:V29"/>
    <mergeCell ref="W29:Y29"/>
    <mergeCell ref="AA29:AC29"/>
    <mergeCell ref="A6:A8"/>
    <mergeCell ref="A9:A11"/>
    <mergeCell ref="A12:A14"/>
    <mergeCell ref="B2:G2"/>
    <mergeCell ref="I2:L2"/>
    <mergeCell ref="M2:N2"/>
    <mergeCell ref="O2:S2"/>
    <mergeCell ref="C33:AG33"/>
    <mergeCell ref="A36:A38"/>
    <mergeCell ref="A39:A41"/>
    <mergeCell ref="A42:A44"/>
    <mergeCell ref="C45:AG45"/>
    <mergeCell ref="W327:AC327"/>
    <mergeCell ref="P329:Q329"/>
    <mergeCell ref="R329:T329"/>
    <mergeCell ref="U329:V329"/>
    <mergeCell ref="W329:Y329"/>
    <mergeCell ref="AA329:AC329"/>
    <mergeCell ref="AE329:AG329"/>
    <mergeCell ref="A301:AG301"/>
    <mergeCell ref="B302:G302"/>
    <mergeCell ref="I302:L302"/>
    <mergeCell ref="M302:N302"/>
    <mergeCell ref="O302:S302"/>
    <mergeCell ref="U302:V302"/>
    <mergeCell ref="W302:Y302"/>
    <mergeCell ref="C303:AG303"/>
    <mergeCell ref="A306:A308"/>
    <mergeCell ref="A309:A311"/>
    <mergeCell ref="A312:A314"/>
    <mergeCell ref="C315:AG315"/>
    <mergeCell ref="A318:A320"/>
    <mergeCell ref="A321:A323"/>
    <mergeCell ref="A324:A326"/>
    <mergeCell ref="A354:A356"/>
    <mergeCell ref="W357:AC357"/>
    <mergeCell ref="P359:Q359"/>
    <mergeCell ref="R359:T359"/>
    <mergeCell ref="U359:V359"/>
    <mergeCell ref="W359:Y359"/>
    <mergeCell ref="AA359:AC359"/>
    <mergeCell ref="AE359:AG359"/>
    <mergeCell ref="A331:AG331"/>
    <mergeCell ref="B332:G332"/>
    <mergeCell ref="I332:L332"/>
    <mergeCell ref="M332:N332"/>
    <mergeCell ref="O332:S332"/>
    <mergeCell ref="U332:V332"/>
    <mergeCell ref="W332:Y332"/>
    <mergeCell ref="C333:AG333"/>
    <mergeCell ref="A336:A338"/>
    <mergeCell ref="A348:A350"/>
    <mergeCell ref="A351:A353"/>
    <mergeCell ref="A339:A341"/>
    <mergeCell ref="A342:A344"/>
    <mergeCell ref="C345:AG345"/>
    <mergeCell ref="A421:AG421"/>
    <mergeCell ref="B422:G422"/>
    <mergeCell ref="I422:L422"/>
    <mergeCell ref="M422:N422"/>
    <mergeCell ref="O422:S422"/>
    <mergeCell ref="U422:V422"/>
    <mergeCell ref="W422:Y422"/>
    <mergeCell ref="C423:AG423"/>
    <mergeCell ref="A426:A428"/>
    <mergeCell ref="A429:A431"/>
    <mergeCell ref="A432:A434"/>
    <mergeCell ref="C435:AG435"/>
    <mergeCell ref="A438:A440"/>
    <mergeCell ref="A441:A443"/>
    <mergeCell ref="A444:A446"/>
    <mergeCell ref="W447:AC447"/>
    <mergeCell ref="A451:AG451"/>
    <mergeCell ref="B452:G452"/>
    <mergeCell ref="I452:L452"/>
    <mergeCell ref="M452:N452"/>
    <mergeCell ref="O452:S452"/>
    <mergeCell ref="U452:V452"/>
    <mergeCell ref="W452:Y452"/>
    <mergeCell ref="P449:Q449"/>
    <mergeCell ref="R449:T449"/>
    <mergeCell ref="U449:V449"/>
    <mergeCell ref="W449:Y449"/>
    <mergeCell ref="AA449:AC449"/>
    <mergeCell ref="AE449:AG449"/>
    <mergeCell ref="A481:AG481"/>
    <mergeCell ref="B482:G482"/>
    <mergeCell ref="I482:L482"/>
    <mergeCell ref="M482:N482"/>
    <mergeCell ref="O482:S482"/>
    <mergeCell ref="U482:V482"/>
    <mergeCell ref="W482:Y482"/>
    <mergeCell ref="C483:AG483"/>
    <mergeCell ref="A486:A488"/>
    <mergeCell ref="O512:S512"/>
    <mergeCell ref="U512:V512"/>
    <mergeCell ref="W512:Y512"/>
    <mergeCell ref="C513:AG513"/>
    <mergeCell ref="A516:A518"/>
    <mergeCell ref="A489:A491"/>
    <mergeCell ref="A492:A494"/>
    <mergeCell ref="C495:AG495"/>
    <mergeCell ref="A498:A500"/>
    <mergeCell ref="A501:A503"/>
    <mergeCell ref="A504:A506"/>
    <mergeCell ref="W507:AC507"/>
    <mergeCell ref="P509:Q509"/>
    <mergeCell ref="R509:T509"/>
    <mergeCell ref="U509:V509"/>
    <mergeCell ref="W509:Y509"/>
    <mergeCell ref="AA509:AC509"/>
    <mergeCell ref="AE509:AG509"/>
    <mergeCell ref="A279:A281"/>
    <mergeCell ref="A282:A284"/>
    <mergeCell ref="C285:AG285"/>
    <mergeCell ref="A288:A290"/>
    <mergeCell ref="A291:A293"/>
    <mergeCell ref="A294:A296"/>
    <mergeCell ref="W297:AC297"/>
    <mergeCell ref="P299:Q299"/>
    <mergeCell ref="R299:T299"/>
    <mergeCell ref="U299:V299"/>
    <mergeCell ref="W299:Y299"/>
    <mergeCell ref="AA299:AC299"/>
    <mergeCell ref="AE299:AG299"/>
    <mergeCell ref="A271:AG271"/>
    <mergeCell ref="B272:G272"/>
    <mergeCell ref="I272:L272"/>
    <mergeCell ref="M272:N272"/>
    <mergeCell ref="O272:S272"/>
    <mergeCell ref="U272:V272"/>
    <mergeCell ref="W272:Y272"/>
    <mergeCell ref="C273:AG273"/>
    <mergeCell ref="A276:A278"/>
    <mergeCell ref="I542:L542"/>
    <mergeCell ref="M542:N542"/>
    <mergeCell ref="O542:S542"/>
    <mergeCell ref="U542:V542"/>
    <mergeCell ref="W542:Y542"/>
    <mergeCell ref="A391:AG391"/>
    <mergeCell ref="B392:G392"/>
    <mergeCell ref="I392:L392"/>
    <mergeCell ref="M392:N392"/>
    <mergeCell ref="O392:S392"/>
    <mergeCell ref="U392:V392"/>
    <mergeCell ref="W392:Y392"/>
    <mergeCell ref="C393:AG393"/>
    <mergeCell ref="A396:A398"/>
    <mergeCell ref="A399:A401"/>
    <mergeCell ref="A402:A404"/>
    <mergeCell ref="C405:AG405"/>
    <mergeCell ref="A408:A410"/>
    <mergeCell ref="A411:A413"/>
    <mergeCell ref="A414:A416"/>
    <mergeCell ref="W417:AC417"/>
    <mergeCell ref="P419:Q419"/>
    <mergeCell ref="I512:L512"/>
    <mergeCell ref="M512:N512"/>
    <mergeCell ref="A549:A551"/>
    <mergeCell ref="A552:A554"/>
    <mergeCell ref="A561:A563"/>
    <mergeCell ref="A564:A566"/>
    <mergeCell ref="W567:AC567"/>
    <mergeCell ref="P569:Q569"/>
    <mergeCell ref="R569:T569"/>
    <mergeCell ref="U569:V569"/>
    <mergeCell ref="AE569:AG569"/>
    <mergeCell ref="C555:AG555"/>
    <mergeCell ref="A558:A560"/>
    <mergeCell ref="W569:Y569"/>
    <mergeCell ref="AA569:AC569"/>
    <mergeCell ref="R419:T419"/>
    <mergeCell ref="U419:V419"/>
    <mergeCell ref="W419:Y419"/>
    <mergeCell ref="AA419:AC419"/>
    <mergeCell ref="AE419:AG419"/>
    <mergeCell ref="C543:AG543"/>
    <mergeCell ref="A546:A548"/>
    <mergeCell ref="A519:A521"/>
    <mergeCell ref="A522:A524"/>
    <mergeCell ref="C525:AG525"/>
    <mergeCell ref="A528:A530"/>
    <mergeCell ref="A531:A533"/>
    <mergeCell ref="A534:A536"/>
    <mergeCell ref="W537:AC537"/>
    <mergeCell ref="P539:Q539"/>
    <mergeCell ref="R539:T539"/>
    <mergeCell ref="U539:V539"/>
    <mergeCell ref="W539:Y539"/>
    <mergeCell ref="AA539:AC539"/>
    <mergeCell ref="AE539:AG539"/>
    <mergeCell ref="A511:AG511"/>
    <mergeCell ref="B512:G512"/>
    <mergeCell ref="A541:AG541"/>
    <mergeCell ref="B542:G542"/>
  </mergeCells>
  <phoneticPr fontId="11" type="noConversion"/>
  <conditionalFormatting sqref="AG67:AG72 AF70:AF72 C70:AE74 AF73:AG74 C67:AF69">
    <cfRule type="cellIs" dxfId="14" priority="52" operator="equal">
      <formula>0</formula>
    </cfRule>
  </conditionalFormatting>
  <conditionalFormatting sqref="C1:AG66">
    <cfRule type="cellIs" dxfId="13" priority="46" operator="equal">
      <formula>0</formula>
    </cfRule>
  </conditionalFormatting>
  <conditionalFormatting sqref="C75:AG77 C78:D81 I78:M81 R78:R81 W78:Y81 AB79:AG81 AC78:AG78 C82:AG1048576">
    <cfRule type="cellIs" dxfId="12" priority="10" operator="equal">
      <formula>0</formula>
    </cfRule>
  </conditionalFormatting>
  <conditionalFormatting sqref="AC78 AF78:AG78">
    <cfRule type="cellIs" dxfId="11" priority="45" operator="equal">
      <formula>0</formula>
    </cfRule>
  </conditionalFormatting>
  <conditionalFormatting sqref="E79:H81">
    <cfRule type="cellIs" dxfId="8" priority="9" operator="equal">
      <formula>0</formula>
    </cfRule>
  </conditionalFormatting>
  <conditionalFormatting sqref="E78:H78">
    <cfRule type="cellIs" dxfId="7" priority="8" operator="equal">
      <formula>0</formula>
    </cfRule>
  </conditionalFormatting>
  <conditionalFormatting sqref="N79:Q81">
    <cfRule type="cellIs" dxfId="6" priority="7" operator="equal">
      <formula>0</formula>
    </cfRule>
  </conditionalFormatting>
  <conditionalFormatting sqref="N78:Q78">
    <cfRule type="cellIs" dxfId="5" priority="6" operator="equal">
      <formula>0</formula>
    </cfRule>
  </conditionalFormatting>
  <conditionalFormatting sqref="S79:V81">
    <cfRule type="cellIs" dxfId="4" priority="5" operator="equal">
      <formula>0</formula>
    </cfRule>
  </conditionalFormatting>
  <conditionalFormatting sqref="S78:V78">
    <cfRule type="cellIs" dxfId="3" priority="4" operator="equal">
      <formula>0</formula>
    </cfRule>
  </conditionalFormatting>
  <conditionalFormatting sqref="Z79:AA81">
    <cfRule type="cellIs" dxfId="2" priority="3" operator="equal">
      <formula>0</formula>
    </cfRule>
  </conditionalFormatting>
  <conditionalFormatting sqref="Z78:AA78">
    <cfRule type="cellIs" dxfId="1" priority="2" operator="equal">
      <formula>0</formula>
    </cfRule>
  </conditionalFormatting>
  <conditionalFormatting sqref="AB78">
    <cfRule type="cellIs" dxfId="0" priority="1" operator="equal">
      <formula>0</formula>
    </cfRule>
  </conditionalFormatting>
  <pageMargins left="0.27559055118110237" right="0.27559055118110237" top="0.23622047244094491" bottom="0.39370078740157483" header="0.23622047244094491" footer="0.15748031496062992"/>
  <pageSetup paperSize="9" scale="93" orientation="landscape" r:id="rId1"/>
  <headerFooter>
    <oddFooter>&amp;L&amp;"Angsana New,Regular"&amp;10แบบฟอร์มเลขที่ BWI 021/002&amp;R&amp;"Angsana New,Regular"&amp;10                แก้ไขครั้งที่ 01/0150</oddFooter>
  </headerFooter>
  <rowBreaks count="17" manualBreakCount="17">
    <brk id="30" max="16383" man="1"/>
    <brk id="60" max="16383" man="1"/>
    <brk id="90" max="16383" man="1"/>
    <brk id="120" max="16383" man="1"/>
    <brk id="150" max="16383" man="1"/>
    <brk id="180" max="16383" man="1"/>
    <brk id="210" max="16383" man="1"/>
    <brk id="240" max="16383" man="1"/>
    <brk id="270" max="16383" man="1"/>
    <brk id="300" max="16383" man="1"/>
    <brk id="330" max="16383" man="1"/>
    <brk id="360" max="16383" man="1"/>
    <brk id="390" max="16383" man="1"/>
    <brk id="450" max="16383" man="1"/>
    <brk id="480" max="16383" man="1"/>
    <brk id="540" max="16383" man="1"/>
    <brk id="57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7A3491B1-A63C-4E93-807C-CA7A3BCF9938}">
          <x14:formula1>
            <xm:f>'น้ำยา-เครื่อง'!$A$4:$A$13</xm:f>
          </x14:formula1>
          <xm:sqref>B5 B17 B35 B95 B77 B65 B47 B107 B125 B185 B137 B215 B197 B245 B227 B305 B557 B335 B317 B425 B347 B455 B437 B485 B467 B515 B497 B527 B275 B257 B545 B287 B395 B407 B365 B377 B155 B167 B587 B575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CD55-9254-4F4D-904D-3714FF5B89FD}">
  <dimension ref="A1:AF22"/>
  <sheetViews>
    <sheetView topLeftCell="A12" workbookViewId="0">
      <selection activeCell="B18" sqref="B18:AF19"/>
    </sheetView>
  </sheetViews>
  <sheetFormatPr defaultRowHeight="14.25" x14ac:dyDescent="0.2"/>
  <cols>
    <col min="1" max="1" width="11.25" bestFit="1" customWidth="1"/>
    <col min="2" max="2" width="2.375" bestFit="1" customWidth="1"/>
    <col min="3" max="6" width="2" bestFit="1" customWidth="1"/>
    <col min="7" max="7" width="3" bestFit="1" customWidth="1"/>
    <col min="8" max="10" width="2" bestFit="1" customWidth="1"/>
    <col min="11" max="32" width="3" bestFit="1" customWidth="1"/>
  </cols>
  <sheetData>
    <row r="1" spans="1:32" x14ac:dyDescent="0.2">
      <c r="B1" s="114" t="s">
        <v>187</v>
      </c>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row>
    <row r="2" spans="1:32" x14ac:dyDescent="0.2">
      <c r="B2" s="113" t="str">
        <f>Monthly!C3</f>
        <v>เดือน กรกฏาคม</v>
      </c>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row>
    <row r="3" spans="1:32" x14ac:dyDescent="0.2">
      <c r="B3" s="19">
        <f>Monthly!C4</f>
        <v>1</v>
      </c>
      <c r="C3" s="19">
        <f>Monthly!D4</f>
        <v>2</v>
      </c>
      <c r="D3" s="19">
        <f>Monthly!E4</f>
        <v>3</v>
      </c>
      <c r="E3" s="19">
        <f>Monthly!F4</f>
        <v>4</v>
      </c>
      <c r="F3" s="19">
        <f>Monthly!G4</f>
        <v>5</v>
      </c>
      <c r="G3" s="19">
        <f>Monthly!H4</f>
        <v>6</v>
      </c>
      <c r="H3" s="19">
        <f>Monthly!I4</f>
        <v>7</v>
      </c>
      <c r="I3" s="19">
        <f>Monthly!J4</f>
        <v>8</v>
      </c>
      <c r="J3" s="19">
        <f>Monthly!K4</f>
        <v>9</v>
      </c>
      <c r="K3" s="19">
        <f>Monthly!L4</f>
        <v>10</v>
      </c>
      <c r="L3" s="19">
        <f>Monthly!M4</f>
        <v>11</v>
      </c>
      <c r="M3" s="19">
        <f>Monthly!N4</f>
        <v>12</v>
      </c>
      <c r="N3" s="19">
        <f>Monthly!O4</f>
        <v>13</v>
      </c>
      <c r="O3" s="19">
        <f>Monthly!P4</f>
        <v>14</v>
      </c>
      <c r="P3" s="19">
        <f>Monthly!Q4</f>
        <v>15</v>
      </c>
      <c r="Q3" s="19">
        <f>Monthly!R4</f>
        <v>16</v>
      </c>
      <c r="R3" s="19">
        <f>Monthly!S4</f>
        <v>17</v>
      </c>
      <c r="S3" s="19">
        <f>Monthly!T4</f>
        <v>18</v>
      </c>
      <c r="T3" s="19">
        <f>Monthly!U4</f>
        <v>19</v>
      </c>
      <c r="U3" s="19">
        <f>Monthly!V4</f>
        <v>20</v>
      </c>
      <c r="V3" s="19">
        <f>Monthly!W4</f>
        <v>21</v>
      </c>
      <c r="W3" s="19">
        <f>Monthly!X4</f>
        <v>22</v>
      </c>
      <c r="X3" s="19">
        <f>Monthly!Y4</f>
        <v>23</v>
      </c>
      <c r="Y3" s="19">
        <f>Monthly!Z4</f>
        <v>24</v>
      </c>
      <c r="Z3" s="19">
        <f>Monthly!AA4</f>
        <v>25</v>
      </c>
      <c r="AA3" s="19">
        <f>Monthly!AB4</f>
        <v>26</v>
      </c>
      <c r="AB3" s="19">
        <f>Monthly!AC4</f>
        <v>27</v>
      </c>
      <c r="AC3" s="19">
        <f>Monthly!AD4</f>
        <v>28</v>
      </c>
      <c r="AD3" s="19">
        <f>Monthly!AE4</f>
        <v>29</v>
      </c>
      <c r="AE3" s="19">
        <f>Monthly!AF4</f>
        <v>30</v>
      </c>
      <c r="AF3" s="19">
        <v>31</v>
      </c>
    </row>
    <row r="4" spans="1:32" ht="18" x14ac:dyDescent="0.2">
      <c r="A4" t="s">
        <v>4</v>
      </c>
      <c r="B4" s="22">
        <v>1</v>
      </c>
      <c r="C4" s="22">
        <v>1</v>
      </c>
      <c r="D4" s="22">
        <v>1</v>
      </c>
      <c r="E4" s="22"/>
      <c r="F4" s="22"/>
      <c r="G4" s="69">
        <v>2</v>
      </c>
      <c r="H4" s="69">
        <v>2</v>
      </c>
      <c r="I4" s="69">
        <v>2</v>
      </c>
      <c r="J4" s="69">
        <v>2</v>
      </c>
      <c r="K4" s="69">
        <v>2</v>
      </c>
      <c r="L4" s="22"/>
      <c r="M4" s="22"/>
      <c r="N4" s="22">
        <v>1</v>
      </c>
      <c r="O4" s="22">
        <v>1</v>
      </c>
      <c r="P4" s="22">
        <v>1</v>
      </c>
      <c r="Q4" s="22">
        <v>1</v>
      </c>
      <c r="R4" s="22">
        <v>1</v>
      </c>
      <c r="S4" s="22"/>
      <c r="T4" s="22"/>
      <c r="U4" s="69">
        <v>2</v>
      </c>
      <c r="V4" s="69">
        <v>2</v>
      </c>
      <c r="W4" s="69">
        <v>2</v>
      </c>
      <c r="X4" s="69">
        <v>2</v>
      </c>
      <c r="Y4" s="69">
        <v>2</v>
      </c>
      <c r="Z4" s="69"/>
      <c r="AA4" s="69"/>
      <c r="AB4" s="69">
        <v>1</v>
      </c>
      <c r="AC4" s="69">
        <v>1</v>
      </c>
      <c r="AD4" s="69">
        <v>1</v>
      </c>
      <c r="AE4" s="69">
        <v>1</v>
      </c>
      <c r="AF4" s="69">
        <v>1</v>
      </c>
    </row>
    <row r="5" spans="1:32" x14ac:dyDescent="0.2">
      <c r="A5" t="s">
        <v>188</v>
      </c>
      <c r="B5">
        <v>1</v>
      </c>
      <c r="C5">
        <v>1</v>
      </c>
      <c r="D5">
        <v>1</v>
      </c>
      <c r="E5">
        <v>2</v>
      </c>
      <c r="F5">
        <v>3</v>
      </c>
      <c r="G5">
        <v>1</v>
      </c>
      <c r="H5">
        <v>1</v>
      </c>
      <c r="I5">
        <v>1</v>
      </c>
      <c r="J5">
        <v>1</v>
      </c>
      <c r="K5">
        <v>1</v>
      </c>
      <c r="L5">
        <v>2</v>
      </c>
      <c r="M5">
        <v>3</v>
      </c>
      <c r="N5">
        <v>1</v>
      </c>
      <c r="O5">
        <v>1</v>
      </c>
      <c r="P5">
        <v>1</v>
      </c>
      <c r="Q5">
        <v>1</v>
      </c>
      <c r="R5">
        <v>1</v>
      </c>
      <c r="S5">
        <v>2</v>
      </c>
      <c r="T5">
        <v>3</v>
      </c>
      <c r="U5">
        <v>1</v>
      </c>
      <c r="V5">
        <v>1</v>
      </c>
      <c r="W5">
        <v>1</v>
      </c>
      <c r="X5">
        <v>1</v>
      </c>
      <c r="Y5">
        <v>1</v>
      </c>
      <c r="Z5">
        <v>2</v>
      </c>
      <c r="AA5">
        <v>3</v>
      </c>
      <c r="AB5">
        <v>1</v>
      </c>
      <c r="AC5">
        <v>1</v>
      </c>
      <c r="AD5">
        <v>1</v>
      </c>
      <c r="AE5">
        <v>1</v>
      </c>
      <c r="AF5">
        <v>1</v>
      </c>
    </row>
    <row r="8" spans="1:32" x14ac:dyDescent="0.2">
      <c r="A8" t="s">
        <v>189</v>
      </c>
      <c r="C8" t="s">
        <v>60</v>
      </c>
      <c r="D8" t="s">
        <v>60</v>
      </c>
      <c r="E8" t="s">
        <v>60</v>
      </c>
      <c r="F8" t="s">
        <v>60</v>
      </c>
      <c r="G8" t="s">
        <v>60</v>
      </c>
      <c r="J8" t="s">
        <v>60</v>
      </c>
      <c r="K8" t="s">
        <v>60</v>
      </c>
      <c r="L8" t="s">
        <v>60</v>
      </c>
      <c r="M8" t="s">
        <v>60</v>
      </c>
      <c r="N8" t="s">
        <v>60</v>
      </c>
      <c r="Q8" t="s">
        <v>60</v>
      </c>
      <c r="R8" t="s">
        <v>60</v>
      </c>
      <c r="S8" t="s">
        <v>60</v>
      </c>
      <c r="T8" t="s">
        <v>60</v>
      </c>
      <c r="U8" t="s">
        <v>60</v>
      </c>
      <c r="X8" t="s">
        <v>60</v>
      </c>
      <c r="Y8" t="s">
        <v>60</v>
      </c>
      <c r="Z8" t="s">
        <v>60</v>
      </c>
      <c r="AA8" t="s">
        <v>60</v>
      </c>
      <c r="AB8" t="s">
        <v>60</v>
      </c>
      <c r="AE8" t="s">
        <v>60</v>
      </c>
    </row>
    <row r="9" spans="1:32" x14ac:dyDescent="0.2">
      <c r="A9" t="s">
        <v>190</v>
      </c>
    </row>
    <row r="10" spans="1:32" x14ac:dyDescent="0.2">
      <c r="A10" t="s">
        <v>191</v>
      </c>
    </row>
    <row r="15" spans="1:32" x14ac:dyDescent="0.2">
      <c r="B15" s="114" t="s">
        <v>188</v>
      </c>
      <c r="C15" s="114"/>
      <c r="D15" s="114"/>
      <c r="E15" s="114"/>
      <c r="F15" s="114"/>
      <c r="G15" s="114"/>
      <c r="H15" s="114"/>
      <c r="I15" s="114"/>
      <c r="J15" s="114"/>
      <c r="K15" s="114"/>
      <c r="L15" s="114"/>
      <c r="M15" s="114"/>
      <c r="N15" s="114"/>
      <c r="O15" s="114"/>
      <c r="P15" s="114"/>
      <c r="Q15" s="114"/>
      <c r="R15" s="114"/>
      <c r="S15" s="114"/>
      <c r="T15" s="114"/>
      <c r="U15" s="114"/>
      <c r="V15" s="114"/>
      <c r="W15" s="114"/>
      <c r="X15" s="114"/>
      <c r="Y15" s="114"/>
      <c r="Z15" s="114"/>
      <c r="AA15" s="114"/>
      <c r="AB15" s="114"/>
      <c r="AC15" s="114"/>
      <c r="AD15" s="114"/>
      <c r="AE15" s="114"/>
      <c r="AF15" s="114"/>
    </row>
    <row r="16" spans="1:32" x14ac:dyDescent="0.2">
      <c r="B16" s="113" t="str">
        <f>Monthly!C15</f>
        <v>เดือน สิงหาคม</v>
      </c>
      <c r="C16" s="114"/>
      <c r="D16" s="114"/>
      <c r="E16" s="114"/>
      <c r="F16" s="114"/>
      <c r="G16" s="114"/>
      <c r="H16" s="114"/>
      <c r="I16" s="114"/>
      <c r="J16" s="114"/>
      <c r="K16" s="114"/>
      <c r="L16" s="114"/>
      <c r="M16" s="114"/>
      <c r="N16" s="114"/>
      <c r="O16" s="114"/>
      <c r="P16" s="114"/>
      <c r="Q16" s="114"/>
      <c r="R16" s="114"/>
      <c r="S16" s="114"/>
      <c r="T16" s="114"/>
      <c r="U16" s="114"/>
      <c r="V16" s="114"/>
      <c r="W16" s="114"/>
      <c r="X16" s="114"/>
      <c r="Y16" s="114"/>
      <c r="Z16" s="114"/>
      <c r="AA16" s="114"/>
      <c r="AB16" s="114"/>
      <c r="AC16" s="114"/>
      <c r="AD16" s="114"/>
      <c r="AE16" s="114"/>
      <c r="AF16" s="114"/>
    </row>
    <row r="17" spans="1:32" x14ac:dyDescent="0.2">
      <c r="B17" s="19">
        <f>Monthly!C16</f>
        <v>1</v>
      </c>
      <c r="C17" s="19">
        <f>Monthly!D16</f>
        <v>2</v>
      </c>
      <c r="D17" s="19">
        <f>Monthly!E16</f>
        <v>3</v>
      </c>
      <c r="E17" s="19">
        <f>Monthly!F16</f>
        <v>4</v>
      </c>
      <c r="F17" s="19">
        <f>Monthly!G16</f>
        <v>5</v>
      </c>
      <c r="G17" s="19">
        <f>Monthly!H16</f>
        <v>6</v>
      </c>
      <c r="H17" s="19">
        <f>Monthly!I16</f>
        <v>7</v>
      </c>
      <c r="I17" s="19">
        <f>Monthly!J16</f>
        <v>8</v>
      </c>
      <c r="J17" s="19">
        <f>Monthly!K16</f>
        <v>9</v>
      </c>
      <c r="K17" s="19">
        <f>Monthly!L16</f>
        <v>10</v>
      </c>
      <c r="L17" s="19">
        <f>Monthly!M16</f>
        <v>11</v>
      </c>
      <c r="M17" s="19">
        <f>Monthly!N16</f>
        <v>12</v>
      </c>
      <c r="N17" s="19">
        <f>Monthly!O16</f>
        <v>13</v>
      </c>
      <c r="O17" s="19">
        <f>Monthly!P16</f>
        <v>14</v>
      </c>
      <c r="P17" s="19">
        <f>Monthly!Q16</f>
        <v>15</v>
      </c>
      <c r="Q17" s="19">
        <f>Monthly!R16</f>
        <v>16</v>
      </c>
      <c r="R17" s="19">
        <f>Monthly!S16</f>
        <v>17</v>
      </c>
      <c r="S17" s="19">
        <f>Monthly!T16</f>
        <v>18</v>
      </c>
      <c r="T17" s="19">
        <f>Monthly!U16</f>
        <v>19</v>
      </c>
      <c r="U17" s="19">
        <f>Monthly!V16</f>
        <v>20</v>
      </c>
      <c r="V17" s="19">
        <f>Monthly!W16</f>
        <v>21</v>
      </c>
      <c r="W17" s="19">
        <f>Monthly!X16</f>
        <v>22</v>
      </c>
      <c r="X17" s="19">
        <f>Monthly!Y16</f>
        <v>23</v>
      </c>
      <c r="Y17" s="19">
        <f>Monthly!Z16</f>
        <v>24</v>
      </c>
      <c r="Z17" s="19">
        <f>Monthly!AA16</f>
        <v>25</v>
      </c>
      <c r="AA17" s="19">
        <f>Monthly!AB16</f>
        <v>26</v>
      </c>
      <c r="AB17" s="19">
        <f>Monthly!AC16</f>
        <v>27</v>
      </c>
      <c r="AC17" s="19">
        <f>Monthly!AD16</f>
        <v>28</v>
      </c>
      <c r="AD17" s="19">
        <v>29</v>
      </c>
      <c r="AE17" s="19">
        <v>30</v>
      </c>
      <c r="AF17" s="19">
        <v>31</v>
      </c>
    </row>
    <row r="18" spans="1:32" ht="18" x14ac:dyDescent="0.2">
      <c r="A18" t="s">
        <v>4</v>
      </c>
      <c r="B18" s="22"/>
      <c r="C18" s="22"/>
      <c r="D18" s="69">
        <v>2</v>
      </c>
      <c r="E18" s="69">
        <v>2</v>
      </c>
      <c r="F18" s="69">
        <v>2</v>
      </c>
      <c r="G18" s="69">
        <v>2</v>
      </c>
      <c r="H18" s="69">
        <v>2</v>
      </c>
      <c r="I18" s="69"/>
      <c r="J18" s="69"/>
      <c r="K18" s="69">
        <v>1</v>
      </c>
      <c r="L18" s="69">
        <v>1</v>
      </c>
      <c r="M18" s="69">
        <v>1</v>
      </c>
      <c r="N18" s="69">
        <v>1</v>
      </c>
      <c r="O18" s="69">
        <v>1</v>
      </c>
      <c r="P18" s="22"/>
      <c r="Q18" s="22"/>
      <c r="R18" s="69">
        <v>2</v>
      </c>
      <c r="S18" s="69">
        <v>2</v>
      </c>
      <c r="T18" s="69">
        <v>2</v>
      </c>
      <c r="U18" s="69">
        <v>2</v>
      </c>
      <c r="V18" s="69">
        <v>2</v>
      </c>
      <c r="W18" s="69"/>
      <c r="X18" s="69"/>
      <c r="Y18" s="69">
        <v>1</v>
      </c>
      <c r="Z18" s="69">
        <v>1</v>
      </c>
      <c r="AA18" s="69">
        <v>1</v>
      </c>
      <c r="AB18" s="69">
        <v>1</v>
      </c>
      <c r="AC18" s="69">
        <v>1</v>
      </c>
      <c r="AD18" s="22"/>
      <c r="AE18" s="22"/>
      <c r="AF18" s="22">
        <v>2</v>
      </c>
    </row>
    <row r="19" spans="1:32" x14ac:dyDescent="0.2">
      <c r="A19" t="s">
        <v>188</v>
      </c>
      <c r="B19">
        <v>2</v>
      </c>
      <c r="C19">
        <v>3</v>
      </c>
      <c r="D19">
        <v>1</v>
      </c>
      <c r="E19">
        <v>1</v>
      </c>
      <c r="F19">
        <v>1</v>
      </c>
      <c r="G19">
        <v>1</v>
      </c>
      <c r="H19">
        <v>1</v>
      </c>
      <c r="I19">
        <v>2</v>
      </c>
      <c r="J19">
        <v>3</v>
      </c>
      <c r="K19">
        <v>1</v>
      </c>
      <c r="L19">
        <v>1</v>
      </c>
      <c r="M19">
        <v>1</v>
      </c>
      <c r="N19">
        <v>1</v>
      </c>
      <c r="O19">
        <v>1</v>
      </c>
      <c r="P19">
        <v>2</v>
      </c>
      <c r="Q19">
        <v>3</v>
      </c>
      <c r="R19">
        <v>1</v>
      </c>
      <c r="S19">
        <v>1</v>
      </c>
      <c r="T19">
        <v>1</v>
      </c>
      <c r="U19">
        <v>1</v>
      </c>
      <c r="V19">
        <v>1</v>
      </c>
      <c r="W19">
        <v>2</v>
      </c>
      <c r="X19">
        <v>3</v>
      </c>
      <c r="Y19">
        <v>1</v>
      </c>
      <c r="Z19">
        <v>1</v>
      </c>
      <c r="AA19">
        <v>1</v>
      </c>
      <c r="AB19">
        <v>1</v>
      </c>
      <c r="AC19">
        <v>1</v>
      </c>
      <c r="AD19">
        <v>2</v>
      </c>
      <c r="AE19">
        <v>3</v>
      </c>
      <c r="AF19">
        <v>1</v>
      </c>
    </row>
    <row r="21" spans="1:32" x14ac:dyDescent="0.2">
      <c r="A21" t="s">
        <v>5</v>
      </c>
      <c r="B21">
        <f>B17</f>
        <v>1</v>
      </c>
      <c r="C21">
        <f t="shared" ref="C21:AF21" si="0">C17</f>
        <v>2</v>
      </c>
      <c r="D21">
        <f t="shared" si="0"/>
        <v>3</v>
      </c>
      <c r="E21">
        <f t="shared" si="0"/>
        <v>4</v>
      </c>
      <c r="F21">
        <f t="shared" si="0"/>
        <v>5</v>
      </c>
      <c r="G21">
        <f t="shared" si="0"/>
        <v>6</v>
      </c>
      <c r="H21">
        <f t="shared" si="0"/>
        <v>7</v>
      </c>
      <c r="I21">
        <f t="shared" si="0"/>
        <v>8</v>
      </c>
      <c r="J21">
        <f t="shared" si="0"/>
        <v>9</v>
      </c>
      <c r="K21">
        <f t="shared" si="0"/>
        <v>10</v>
      </c>
      <c r="L21">
        <f t="shared" si="0"/>
        <v>11</v>
      </c>
      <c r="M21">
        <f t="shared" si="0"/>
        <v>12</v>
      </c>
      <c r="N21">
        <f t="shared" si="0"/>
        <v>13</v>
      </c>
      <c r="O21">
        <f t="shared" si="0"/>
        <v>14</v>
      </c>
      <c r="P21">
        <f t="shared" si="0"/>
        <v>15</v>
      </c>
      <c r="Q21">
        <f t="shared" si="0"/>
        <v>16</v>
      </c>
      <c r="R21">
        <f t="shared" si="0"/>
        <v>17</v>
      </c>
      <c r="S21">
        <f t="shared" si="0"/>
        <v>18</v>
      </c>
      <c r="T21">
        <f t="shared" si="0"/>
        <v>19</v>
      </c>
      <c r="U21">
        <f t="shared" si="0"/>
        <v>20</v>
      </c>
      <c r="V21">
        <f t="shared" si="0"/>
        <v>21</v>
      </c>
      <c r="W21">
        <f t="shared" si="0"/>
        <v>22</v>
      </c>
      <c r="X21">
        <f t="shared" si="0"/>
        <v>23</v>
      </c>
      <c r="Y21">
        <f t="shared" si="0"/>
        <v>24</v>
      </c>
      <c r="Z21">
        <f t="shared" si="0"/>
        <v>25</v>
      </c>
      <c r="AA21">
        <f t="shared" si="0"/>
        <v>26</v>
      </c>
      <c r="AB21">
        <f t="shared" si="0"/>
        <v>27</v>
      </c>
      <c r="AC21">
        <f t="shared" si="0"/>
        <v>28</v>
      </c>
      <c r="AD21">
        <f t="shared" si="0"/>
        <v>29</v>
      </c>
      <c r="AE21">
        <f t="shared" si="0"/>
        <v>30</v>
      </c>
      <c r="AF21">
        <f t="shared" si="0"/>
        <v>31</v>
      </c>
    </row>
    <row r="22" spans="1:32" x14ac:dyDescent="0.2">
      <c r="A22" t="s">
        <v>189</v>
      </c>
    </row>
  </sheetData>
  <mergeCells count="4">
    <mergeCell ref="B2:AF2"/>
    <mergeCell ref="B1:AF1"/>
    <mergeCell ref="B15:AF15"/>
    <mergeCell ref="B16:AF16"/>
  </mergeCells>
  <conditionalFormatting sqref="B4:AF4">
    <cfRule type="cellIs" dxfId="10" priority="4" operator="equal">
      <formula>0</formula>
    </cfRule>
  </conditionalFormatting>
  <conditionalFormatting sqref="B18:AF18">
    <cfRule type="cellIs" dxfId="9" priority="1"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6FAA-FB98-4BA1-BBEC-939946DC68AC}">
  <dimension ref="A1:AC11"/>
  <sheetViews>
    <sheetView zoomScale="115" zoomScaleNormal="115" workbookViewId="0">
      <selection activeCell="B2" sqref="B2:E2"/>
    </sheetView>
  </sheetViews>
  <sheetFormatPr defaultColWidth="9.125" defaultRowHeight="14.25" x14ac:dyDescent="0.2"/>
  <cols>
    <col min="1" max="1" width="46.625" bestFit="1" customWidth="1"/>
    <col min="2" max="2" width="10.625" bestFit="1" customWidth="1"/>
    <col min="3" max="3" width="6" bestFit="1" customWidth="1"/>
    <col min="4" max="23" width="4.375" bestFit="1" customWidth="1"/>
    <col min="24" max="24" width="4.875" bestFit="1" customWidth="1"/>
    <col min="25" max="29" width="4.375" bestFit="1" customWidth="1"/>
    <col min="30" max="31" width="9.75" bestFit="1" customWidth="1"/>
  </cols>
  <sheetData>
    <row r="1" spans="1:29" ht="23.25" x14ac:dyDescent="0.5">
      <c r="A1" s="15" t="s">
        <v>94</v>
      </c>
      <c r="B1" s="15" t="s">
        <v>95</v>
      </c>
      <c r="C1" s="15"/>
      <c r="D1" s="15"/>
      <c r="E1" s="15"/>
      <c r="F1" s="15"/>
      <c r="G1" s="15"/>
      <c r="H1" s="15"/>
      <c r="I1" s="15"/>
      <c r="J1" s="15"/>
      <c r="K1" s="15"/>
      <c r="L1" s="15"/>
      <c r="M1" s="15"/>
      <c r="N1" s="15"/>
      <c r="O1" s="15"/>
      <c r="P1" s="15"/>
      <c r="Q1" s="15"/>
      <c r="R1" s="15"/>
      <c r="S1" s="15"/>
      <c r="T1" s="15"/>
      <c r="U1" s="15"/>
      <c r="V1" s="15"/>
      <c r="W1" s="15"/>
      <c r="X1" s="15"/>
      <c r="Y1" s="15"/>
      <c r="Z1" s="15"/>
      <c r="AA1" s="15"/>
      <c r="AB1" s="15"/>
      <c r="AC1" s="15"/>
    </row>
    <row r="2" spans="1:29" ht="21.75" thickBot="1" x14ac:dyDescent="0.5">
      <c r="A2" s="6" t="s">
        <v>22</v>
      </c>
      <c r="B2" s="115" t="s">
        <v>86</v>
      </c>
      <c r="C2" s="115"/>
      <c r="D2" s="115"/>
      <c r="E2" s="115"/>
      <c r="F2" s="5"/>
      <c r="G2" s="5"/>
      <c r="H2" s="6" t="s">
        <v>24</v>
      </c>
      <c r="I2" s="90" t="s">
        <v>87</v>
      </c>
      <c r="J2" s="89"/>
      <c r="K2" s="89"/>
      <c r="L2" s="89"/>
      <c r="M2" s="91" t="s">
        <v>25</v>
      </c>
      <c r="N2" s="91"/>
      <c r="O2" s="89" t="s">
        <v>88</v>
      </c>
      <c r="P2" s="89"/>
      <c r="Q2" s="89"/>
      <c r="R2" s="89"/>
      <c r="S2" s="89"/>
      <c r="T2" s="6" t="s">
        <v>20</v>
      </c>
      <c r="U2" s="89">
        <v>2566</v>
      </c>
      <c r="V2" s="89"/>
      <c r="W2" s="91" t="s">
        <v>35</v>
      </c>
      <c r="X2" s="91"/>
      <c r="Y2" s="91"/>
      <c r="Z2" s="14" t="s">
        <v>90</v>
      </c>
      <c r="AA2" s="5"/>
      <c r="AB2" s="5"/>
      <c r="AC2" s="5"/>
    </row>
    <row r="4" spans="1:29" x14ac:dyDescent="0.2">
      <c r="A4" t="s">
        <v>93</v>
      </c>
      <c r="B4" t="s">
        <v>101</v>
      </c>
      <c r="C4" t="s">
        <v>102</v>
      </c>
    </row>
    <row r="7" spans="1:29" x14ac:dyDescent="0.2">
      <c r="A7" t="s">
        <v>96</v>
      </c>
      <c r="B7">
        <v>6</v>
      </c>
      <c r="C7" t="s">
        <v>2</v>
      </c>
    </row>
    <row r="8" spans="1:29" x14ac:dyDescent="0.2">
      <c r="A8" t="s">
        <v>97</v>
      </c>
      <c r="B8">
        <v>3</v>
      </c>
      <c r="C8" t="s">
        <v>2</v>
      </c>
    </row>
    <row r="9" spans="1:29" x14ac:dyDescent="0.2">
      <c r="A9" t="s">
        <v>98</v>
      </c>
      <c r="B9">
        <v>3</v>
      </c>
      <c r="C9" t="s">
        <v>2</v>
      </c>
    </row>
    <row r="10" spans="1:29" x14ac:dyDescent="0.2">
      <c r="A10" t="s">
        <v>99</v>
      </c>
      <c r="B10">
        <v>6</v>
      </c>
      <c r="C10" t="s">
        <v>2</v>
      </c>
    </row>
    <row r="11" spans="1:29" x14ac:dyDescent="0.2">
      <c r="A11" t="s">
        <v>100</v>
      </c>
      <c r="B11">
        <v>5</v>
      </c>
      <c r="C11" t="s">
        <v>20</v>
      </c>
    </row>
  </sheetData>
  <mergeCells count="6">
    <mergeCell ref="W2:Y2"/>
    <mergeCell ref="B2:E2"/>
    <mergeCell ref="I2:L2"/>
    <mergeCell ref="M2:N2"/>
    <mergeCell ref="O2:S2"/>
    <mergeCell ref="U2:V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10D0-BD1D-4C7A-89DE-766A8C2EF16E}">
  <dimension ref="A1:AC19"/>
  <sheetViews>
    <sheetView zoomScale="115" zoomScaleNormal="115" workbookViewId="0">
      <selection activeCell="P9" sqref="P9"/>
    </sheetView>
  </sheetViews>
  <sheetFormatPr defaultColWidth="9.125" defaultRowHeight="14.25" x14ac:dyDescent="0.2"/>
  <cols>
    <col min="1" max="1" width="46.625" bestFit="1" customWidth="1"/>
    <col min="2" max="2" width="10.625" bestFit="1" customWidth="1"/>
    <col min="3" max="3" width="6" bestFit="1" customWidth="1"/>
    <col min="4" max="23" width="4.375" bestFit="1" customWidth="1"/>
    <col min="24" max="24" width="4.875" bestFit="1" customWidth="1"/>
    <col min="25" max="29" width="4.375" bestFit="1" customWidth="1"/>
    <col min="30" max="31" width="9.75" bestFit="1" customWidth="1"/>
  </cols>
  <sheetData>
    <row r="1" spans="1:29" ht="23.25" x14ac:dyDescent="0.5">
      <c r="A1" s="15" t="s">
        <v>94</v>
      </c>
      <c r="B1" s="15" t="s">
        <v>95</v>
      </c>
      <c r="C1" s="15"/>
      <c r="D1" s="15"/>
      <c r="E1" s="15"/>
      <c r="F1" s="15"/>
      <c r="G1" s="15"/>
      <c r="H1" s="15"/>
      <c r="I1" s="15"/>
      <c r="J1" s="15"/>
      <c r="K1" s="15"/>
      <c r="L1" s="15"/>
      <c r="M1" s="15"/>
      <c r="N1" s="15"/>
      <c r="O1" s="15"/>
      <c r="P1" s="15"/>
      <c r="Q1" s="15"/>
      <c r="R1" s="15"/>
      <c r="S1" s="15"/>
      <c r="T1" s="15"/>
      <c r="U1" s="15"/>
      <c r="V1" s="15"/>
      <c r="W1" s="15"/>
      <c r="X1" s="15"/>
      <c r="Y1" s="15"/>
      <c r="Z1" s="15"/>
      <c r="AA1" s="15"/>
      <c r="AB1" s="15"/>
      <c r="AC1" s="15"/>
    </row>
    <row r="2" spans="1:29" ht="21.75" thickBot="1" x14ac:dyDescent="0.5">
      <c r="A2" s="6" t="s">
        <v>22</v>
      </c>
      <c r="B2" s="89" t="s">
        <v>106</v>
      </c>
      <c r="C2" s="89"/>
      <c r="D2" s="89"/>
      <c r="E2" s="89"/>
      <c r="F2" s="89"/>
      <c r="G2" s="89"/>
      <c r="H2" s="6" t="s">
        <v>24</v>
      </c>
      <c r="I2" s="116" t="s">
        <v>107</v>
      </c>
      <c r="J2" s="117"/>
      <c r="K2" s="117"/>
      <c r="L2" s="117"/>
      <c r="M2" s="91" t="s">
        <v>25</v>
      </c>
      <c r="N2" s="91"/>
      <c r="O2" s="89" t="s">
        <v>108</v>
      </c>
      <c r="P2" s="89"/>
      <c r="Q2" s="89"/>
      <c r="R2" s="89"/>
      <c r="S2" s="89"/>
      <c r="T2" s="6" t="s">
        <v>20</v>
      </c>
      <c r="U2" s="89">
        <v>2566</v>
      </c>
      <c r="V2" s="89"/>
      <c r="W2" s="91" t="s">
        <v>35</v>
      </c>
      <c r="X2" s="91"/>
      <c r="Y2" s="91"/>
      <c r="Z2" s="14" t="s">
        <v>113</v>
      </c>
      <c r="AA2" s="5"/>
      <c r="AB2" s="5"/>
      <c r="AC2" s="5"/>
    </row>
    <row r="4" spans="1:29" x14ac:dyDescent="0.2">
      <c r="A4" t="s">
        <v>93</v>
      </c>
      <c r="B4" t="s">
        <v>101</v>
      </c>
      <c r="C4" t="s">
        <v>102</v>
      </c>
    </row>
    <row r="7" spans="1:29" ht="21" x14ac:dyDescent="0.2">
      <c r="A7" s="16" t="s">
        <v>123</v>
      </c>
      <c r="B7">
        <v>3</v>
      </c>
      <c r="C7" t="s">
        <v>2</v>
      </c>
    </row>
    <row r="8" spans="1:29" ht="21" x14ac:dyDescent="0.2">
      <c r="A8" s="16" t="s">
        <v>124</v>
      </c>
    </row>
    <row r="9" spans="1:29" ht="21" x14ac:dyDescent="0.2">
      <c r="A9" s="16" t="s">
        <v>125</v>
      </c>
    </row>
    <row r="10" spans="1:29" ht="21" x14ac:dyDescent="0.2">
      <c r="A10" s="16" t="s">
        <v>126</v>
      </c>
    </row>
    <row r="11" spans="1:29" ht="21" x14ac:dyDescent="0.2">
      <c r="A11" s="16" t="s">
        <v>127</v>
      </c>
    </row>
    <row r="12" spans="1:29" ht="21" x14ac:dyDescent="0.2">
      <c r="A12" s="16" t="s">
        <v>128</v>
      </c>
    </row>
    <row r="13" spans="1:29" ht="21" x14ac:dyDescent="0.2">
      <c r="A13" s="16" t="s">
        <v>129</v>
      </c>
    </row>
    <row r="14" spans="1:29" ht="21" x14ac:dyDescent="0.2">
      <c r="A14" s="16" t="s">
        <v>130</v>
      </c>
    </row>
    <row r="15" spans="1:29" ht="21" x14ac:dyDescent="0.2">
      <c r="A15" s="16" t="s">
        <v>131</v>
      </c>
    </row>
    <row r="16" spans="1:29" ht="21" x14ac:dyDescent="0.2">
      <c r="A16" s="16" t="s">
        <v>132</v>
      </c>
    </row>
    <row r="17" spans="1:1" ht="21" x14ac:dyDescent="0.2">
      <c r="A17" s="16" t="s">
        <v>133</v>
      </c>
    </row>
    <row r="18" spans="1:1" ht="21" x14ac:dyDescent="0.2">
      <c r="A18" s="16" t="s">
        <v>134</v>
      </c>
    </row>
    <row r="19" spans="1:1" ht="21" x14ac:dyDescent="0.2">
      <c r="A19" s="16" t="s">
        <v>135</v>
      </c>
    </row>
  </sheetData>
  <mergeCells count="6">
    <mergeCell ref="W2:Y2"/>
    <mergeCell ref="B2:G2"/>
    <mergeCell ref="I2:L2"/>
    <mergeCell ref="M2:N2"/>
    <mergeCell ref="O2:S2"/>
    <mergeCell ref="U2:V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97AFC-9E2B-4236-88FE-086A453D8DCC}">
  <dimension ref="A1:AC19"/>
  <sheetViews>
    <sheetView zoomScale="115" zoomScaleNormal="115" workbookViewId="0">
      <selection activeCell="Z2" sqref="Z2"/>
    </sheetView>
  </sheetViews>
  <sheetFormatPr defaultColWidth="9.125" defaultRowHeight="14.25" x14ac:dyDescent="0.2"/>
  <cols>
    <col min="1" max="1" width="46.625" bestFit="1" customWidth="1"/>
    <col min="2" max="2" width="10.625" bestFit="1" customWidth="1"/>
    <col min="3" max="3" width="6" bestFit="1" customWidth="1"/>
    <col min="4" max="23" width="4.375" bestFit="1" customWidth="1"/>
    <col min="24" max="24" width="4.875" bestFit="1" customWidth="1"/>
    <col min="25" max="29" width="4.375" bestFit="1" customWidth="1"/>
    <col min="30" max="31" width="9.75" bestFit="1" customWidth="1"/>
  </cols>
  <sheetData>
    <row r="1" spans="1:29" ht="23.25" x14ac:dyDescent="0.5">
      <c r="A1" s="15" t="s">
        <v>94</v>
      </c>
      <c r="B1" s="15" t="s">
        <v>95</v>
      </c>
      <c r="C1" s="15"/>
      <c r="D1" s="15"/>
      <c r="E1" s="15"/>
      <c r="F1" s="15"/>
      <c r="G1" s="15"/>
      <c r="H1" s="15"/>
      <c r="I1" s="15"/>
      <c r="J1" s="15"/>
      <c r="K1" s="15"/>
      <c r="L1" s="15"/>
      <c r="M1" s="15"/>
      <c r="N1" s="15"/>
      <c r="O1" s="15"/>
      <c r="P1" s="15"/>
      <c r="Q1" s="15"/>
      <c r="R1" s="15"/>
      <c r="S1" s="15"/>
      <c r="T1" s="15"/>
      <c r="U1" s="15"/>
      <c r="V1" s="15"/>
      <c r="W1" s="15"/>
      <c r="X1" s="15"/>
      <c r="Y1" s="15"/>
      <c r="Z1" s="15"/>
      <c r="AA1" s="15"/>
      <c r="AB1" s="15"/>
      <c r="AC1" s="15"/>
    </row>
    <row r="2" spans="1:29" ht="21.75" thickBot="1" x14ac:dyDescent="0.5">
      <c r="A2" s="6" t="s">
        <v>22</v>
      </c>
      <c r="B2" s="89" t="s">
        <v>146</v>
      </c>
      <c r="C2" s="89"/>
      <c r="D2" s="89"/>
      <c r="E2" s="89"/>
      <c r="F2" s="89"/>
      <c r="G2" s="89"/>
      <c r="H2" s="6" t="s">
        <v>24</v>
      </c>
      <c r="I2" s="116" t="s">
        <v>12</v>
      </c>
      <c r="J2" s="117"/>
      <c r="K2" s="117"/>
      <c r="L2" s="117"/>
      <c r="M2" s="91" t="s">
        <v>25</v>
      </c>
      <c r="N2" s="91"/>
      <c r="O2" s="89" t="s">
        <v>147</v>
      </c>
      <c r="P2" s="89"/>
      <c r="Q2" s="89"/>
      <c r="R2" s="89"/>
      <c r="S2" s="89"/>
      <c r="T2" s="6" t="s">
        <v>20</v>
      </c>
      <c r="U2" s="89">
        <v>2566</v>
      </c>
      <c r="V2" s="89"/>
      <c r="W2" s="91" t="s">
        <v>35</v>
      </c>
      <c r="X2" s="91"/>
      <c r="Y2" s="91"/>
      <c r="Z2" s="14" t="s">
        <v>148</v>
      </c>
      <c r="AA2" s="5"/>
      <c r="AB2" s="5"/>
      <c r="AC2" s="5"/>
    </row>
    <row r="4" spans="1:29" x14ac:dyDescent="0.2">
      <c r="A4" t="s">
        <v>93</v>
      </c>
      <c r="B4" t="s">
        <v>101</v>
      </c>
    </row>
    <row r="7" spans="1:29" ht="21" x14ac:dyDescent="0.2">
      <c r="A7" s="16" t="s">
        <v>149</v>
      </c>
      <c r="B7" t="s">
        <v>150</v>
      </c>
    </row>
    <row r="8" spans="1:29" ht="21" x14ac:dyDescent="0.2">
      <c r="A8" s="16" t="s">
        <v>151</v>
      </c>
      <c r="B8" t="s">
        <v>152</v>
      </c>
    </row>
    <row r="9" spans="1:29" ht="21" x14ac:dyDescent="0.2">
      <c r="A9" s="16" t="s">
        <v>153</v>
      </c>
      <c r="B9" t="s">
        <v>152</v>
      </c>
    </row>
    <row r="10" spans="1:29" ht="21" x14ac:dyDescent="0.2">
      <c r="A10" s="16" t="s">
        <v>154</v>
      </c>
      <c r="B10" t="s">
        <v>152</v>
      </c>
    </row>
    <row r="11" spans="1:29" ht="21" x14ac:dyDescent="0.2">
      <c r="A11" s="16" t="s">
        <v>155</v>
      </c>
      <c r="B11" t="s">
        <v>156</v>
      </c>
    </row>
    <row r="12" spans="1:29" ht="21" x14ac:dyDescent="0.2">
      <c r="A12" s="16" t="s">
        <v>157</v>
      </c>
      <c r="B12" t="s">
        <v>156</v>
      </c>
    </row>
    <row r="13" spans="1:29" ht="21" x14ac:dyDescent="0.2">
      <c r="A13" s="16" t="s">
        <v>158</v>
      </c>
      <c r="B13" t="s">
        <v>156</v>
      </c>
    </row>
    <row r="14" spans="1:29" ht="21" x14ac:dyDescent="0.2">
      <c r="A14" s="16"/>
    </row>
    <row r="15" spans="1:29" ht="21" x14ac:dyDescent="0.2">
      <c r="A15" s="16"/>
    </row>
    <row r="16" spans="1:29" ht="21" x14ac:dyDescent="0.2">
      <c r="A16" s="16"/>
    </row>
    <row r="17" spans="1:1" ht="21" x14ac:dyDescent="0.2">
      <c r="A17" s="16"/>
    </row>
    <row r="18" spans="1:1" ht="21" x14ac:dyDescent="0.2">
      <c r="A18" s="16"/>
    </row>
    <row r="19" spans="1:1" ht="21" x14ac:dyDescent="0.2">
      <c r="A19" s="16"/>
    </row>
  </sheetData>
  <mergeCells count="6">
    <mergeCell ref="W2:Y2"/>
    <mergeCell ref="B2:G2"/>
    <mergeCell ref="I2:L2"/>
    <mergeCell ref="M2:N2"/>
    <mergeCell ref="O2:S2"/>
    <mergeCell ref="U2:V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MS</vt:lpstr>
      <vt:lpstr>Yearly</vt:lpstr>
      <vt:lpstr>Monthly</vt:lpstr>
      <vt:lpstr>น้ำยา-เครื่อง</vt:lpstr>
      <vt:lpstr>List Cleanroom</vt:lpstr>
      <vt:lpstr>List T1</vt:lpstr>
      <vt:lpstr>List AC6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Peravas Pattanaprayoonwong</cp:lastModifiedBy>
  <cp:lastPrinted>2026-07-01T12:02:47Z</cp:lastPrinted>
  <dcterms:created xsi:type="dcterms:W3CDTF">2022-07-22T09:20:45Z</dcterms:created>
  <dcterms:modified xsi:type="dcterms:W3CDTF">2026-07-01T12:20:40Z</dcterms:modified>
</cp:coreProperties>
</file>